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cology\Met Station Data\"/>
    </mc:Choice>
  </mc:AlternateContent>
  <xr:revisionPtr revIDLastSave="0" documentId="13_ncr:1_{4E75C36F-DA48-4895-A446-C70FF2FF3CAE}" xr6:coauthVersionLast="47" xr6:coauthVersionMax="47" xr10:uidLastSave="{00000000-0000-0000-0000-000000000000}"/>
  <bookViews>
    <workbookView xWindow="10740" yWindow="2100" windowWidth="17175" windowHeight="17550" xr2:uid="{00000000-000D-0000-FFFF-FFFF00000000}"/>
  </bookViews>
  <sheets>
    <sheet name="YRPRECIP" sheetId="1" r:id="rId1"/>
    <sheet name="1932-2004 WY&amp;winter totals" sheetId="3" r:id="rId2"/>
    <sheet name="comparative" sheetId="4" r:id="rId3"/>
    <sheet name="Sheet1" sheetId="6" r:id="rId4"/>
    <sheet name="Sheet3" sheetId="5" r:id="rId5"/>
    <sheet name="Sheet2" sheetId="7" r:id="rId6"/>
    <sheet name="Sheet4" sheetId="8" r:id="rId7"/>
  </sheets>
  <definedNames>
    <definedName name="_xlnm.Print_Area" localSheetId="1">'1932-2004 WY&amp;winter totals'!$A$1:$N$76</definedName>
    <definedName name="_xlnm.Print_Area" localSheetId="2">comparative!$A$1:$F$195</definedName>
    <definedName name="_xlnm.Print_Area" localSheetId="0">YRPRECIP!$A$173:$P$200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7" i="1" l="1"/>
  <c r="B105" i="1"/>
  <c r="C107" i="1"/>
  <c r="D107" i="1"/>
  <c r="E107" i="1"/>
  <c r="F107" i="1"/>
  <c r="G107" i="1"/>
  <c r="H107" i="1"/>
  <c r="I107" i="1"/>
  <c r="J107" i="1"/>
  <c r="K107" i="1"/>
  <c r="L107" i="1"/>
  <c r="M107" i="1"/>
  <c r="B104" i="1"/>
  <c r="C104" i="1"/>
  <c r="D104" i="1"/>
  <c r="E104" i="1"/>
  <c r="C105" i="1"/>
  <c r="D105" i="1"/>
  <c r="E105" i="1"/>
  <c r="B106" i="1"/>
  <c r="C106" i="1"/>
  <c r="D106" i="1"/>
  <c r="E106" i="1"/>
  <c r="G106" i="1"/>
  <c r="H106" i="1"/>
  <c r="I106" i="1"/>
  <c r="J106" i="1"/>
  <c r="K106" i="1"/>
  <c r="L106" i="1"/>
  <c r="M106" i="1"/>
  <c r="F106" i="1"/>
  <c r="G105" i="1"/>
  <c r="H105" i="1"/>
  <c r="I105" i="1"/>
  <c r="J105" i="1"/>
  <c r="K105" i="1"/>
  <c r="L105" i="1"/>
  <c r="M105" i="1"/>
  <c r="F105" i="1"/>
  <c r="M104" i="1"/>
  <c r="L104" i="1"/>
  <c r="K104" i="1"/>
  <c r="J104" i="1"/>
  <c r="I104" i="1"/>
  <c r="H104" i="1"/>
  <c r="G104" i="1"/>
  <c r="F104" i="1"/>
  <c r="N211" i="1" l="1"/>
  <c r="U198" i="1"/>
  <c r="U210" i="1"/>
  <c r="N103" i="1"/>
  <c r="N210" i="1"/>
  <c r="B214" i="1" l="1"/>
  <c r="N107" i="1"/>
  <c r="N106" i="1"/>
  <c r="S210" i="1" s="1"/>
  <c r="N102" i="1"/>
  <c r="U209" i="1"/>
  <c r="N101" i="1"/>
  <c r="N105" i="1" l="1"/>
  <c r="N209" i="1"/>
  <c r="N100" i="1"/>
  <c r="D213" i="1"/>
  <c r="C213" i="1"/>
  <c r="B213" i="1"/>
  <c r="U208" i="1"/>
  <c r="N208" i="1"/>
  <c r="V208" i="1"/>
  <c r="N207" i="1"/>
  <c r="U207" i="1"/>
  <c r="N99" i="1"/>
  <c r="V207" i="1"/>
  <c r="U206" i="1"/>
  <c r="N206" i="1" l="1"/>
  <c r="O206" i="1" s="1"/>
  <c r="Y98" i="1"/>
  <c r="V206" i="1" l="1"/>
  <c r="N98" i="1" l="1"/>
  <c r="U205" i="1" l="1"/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2" i="8"/>
  <c r="Y97" i="1" l="1"/>
  <c r="V205" i="1" l="1"/>
  <c r="B88" i="7" l="1"/>
  <c r="B87" i="7"/>
  <c r="N97" i="1"/>
  <c r="M112" i="1" l="1"/>
  <c r="L112" i="1"/>
  <c r="K112" i="1"/>
  <c r="J112" i="1"/>
  <c r="I112" i="1"/>
  <c r="H112" i="1"/>
  <c r="G112" i="1"/>
  <c r="F112" i="1"/>
  <c r="E112" i="1"/>
  <c r="D112" i="1"/>
  <c r="C112" i="1"/>
  <c r="M111" i="1"/>
  <c r="L111" i="1"/>
  <c r="K111" i="1"/>
  <c r="J111" i="1"/>
  <c r="I111" i="1"/>
  <c r="H111" i="1"/>
  <c r="G111" i="1"/>
  <c r="F111" i="1"/>
  <c r="E111" i="1"/>
  <c r="D111" i="1"/>
  <c r="C111" i="1"/>
  <c r="B112" i="1"/>
  <c r="B111" i="1"/>
  <c r="N203" i="1"/>
  <c r="O203" i="1" s="1"/>
  <c r="N205" i="1"/>
  <c r="O205" i="1" s="1"/>
  <c r="U204" i="1" l="1"/>
  <c r="N204" i="1" l="1"/>
  <c r="Y96" i="1"/>
  <c r="Q204" i="1" l="1"/>
  <c r="O204" i="1"/>
  <c r="N96" i="1"/>
  <c r="V204" i="1" l="1"/>
  <c r="N114" i="1" l="1"/>
  <c r="N5" i="1"/>
  <c r="N4" i="1"/>
  <c r="N2" i="1"/>
  <c r="Y95" i="1" l="1"/>
  <c r="N95" i="1" l="1"/>
  <c r="O95" i="1" s="1"/>
  <c r="V115" i="1" l="1"/>
  <c r="V116" i="1"/>
  <c r="V117" i="1"/>
  <c r="V118" i="1"/>
  <c r="V119" i="1"/>
  <c r="V120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9" i="1"/>
  <c r="U200" i="1"/>
  <c r="U201" i="1"/>
  <c r="U202" i="1"/>
  <c r="U203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N202" i="1"/>
  <c r="Q203" i="1" l="1"/>
  <c r="O202" i="1"/>
  <c r="Y94" i="1"/>
  <c r="N94" i="1" l="1"/>
  <c r="Y93" i="1" l="1"/>
  <c r="N201" i="1" l="1"/>
  <c r="Q202" i="1" l="1"/>
  <c r="O201" i="1"/>
  <c r="N93" i="1"/>
  <c r="N200" i="1" l="1"/>
  <c r="Q201" i="1" l="1"/>
  <c r="O200" i="1"/>
  <c r="AB92" i="1"/>
  <c r="Y92" i="1" l="1"/>
  <c r="N92" i="1" l="1"/>
  <c r="AB91" i="1" l="1"/>
  <c r="N199" i="1" l="1"/>
  <c r="O199" i="1" s="1"/>
  <c r="Q200" i="1" l="1"/>
  <c r="Y91" i="1"/>
  <c r="N198" i="1" l="1"/>
  <c r="O198" i="1" s="1"/>
  <c r="Q199" i="1" l="1"/>
  <c r="N91" i="1"/>
  <c r="N104" i="1" l="1"/>
  <c r="J213" i="1"/>
  <c r="I213" i="1"/>
  <c r="E213" i="1"/>
  <c r="Z90" i="1"/>
  <c r="AC90" i="1"/>
  <c r="AB90" i="1"/>
  <c r="Y90" i="1"/>
  <c r="N90" i="1"/>
  <c r="O90" i="1" s="1"/>
  <c r="E214" i="1"/>
  <c r="H213" i="1"/>
  <c r="F213" i="1"/>
  <c r="N185" i="1"/>
  <c r="Z89" i="1"/>
  <c r="AC89" i="1"/>
  <c r="Y89" i="1"/>
  <c r="AB89" i="1"/>
  <c r="AB80" i="1"/>
  <c r="AC80" i="1"/>
  <c r="AB81" i="1"/>
  <c r="AC81" i="1"/>
  <c r="AB82" i="1"/>
  <c r="AC82" i="1"/>
  <c r="AB83" i="1"/>
  <c r="AC83" i="1"/>
  <c r="AB84" i="1"/>
  <c r="AC84" i="1"/>
  <c r="AB85" i="1"/>
  <c r="AC85" i="1"/>
  <c r="AB86" i="1"/>
  <c r="AC86" i="1"/>
  <c r="AB87" i="1"/>
  <c r="AC87" i="1"/>
  <c r="AB88" i="1"/>
  <c r="AC88" i="1"/>
  <c r="Z80" i="1"/>
  <c r="Z81" i="1"/>
  <c r="Z82" i="1"/>
  <c r="Z83" i="1"/>
  <c r="Z84" i="1"/>
  <c r="Z85" i="1"/>
  <c r="Z86" i="1"/>
  <c r="Z87" i="1"/>
  <c r="Z88" i="1"/>
  <c r="R89" i="1" s="1"/>
  <c r="Y80" i="1"/>
  <c r="Y81" i="1"/>
  <c r="Y82" i="1"/>
  <c r="Y83" i="1"/>
  <c r="Y84" i="1"/>
  <c r="Y85" i="1"/>
  <c r="Y86" i="1"/>
  <c r="Y87" i="1"/>
  <c r="Y88" i="1"/>
  <c r="Y69" i="1"/>
  <c r="N197" i="1"/>
  <c r="N89" i="1"/>
  <c r="O89" i="1" s="1"/>
  <c r="N88" i="1"/>
  <c r="O88" i="1" s="1"/>
  <c r="N196" i="1"/>
  <c r="O196" i="1"/>
  <c r="F214" i="1"/>
  <c r="G214" i="1"/>
  <c r="H214" i="1"/>
  <c r="I214" i="1"/>
  <c r="J214" i="1"/>
  <c r="K214" i="1"/>
  <c r="L214" i="1"/>
  <c r="M214" i="1"/>
  <c r="C214" i="1"/>
  <c r="D214" i="1"/>
  <c r="P106" i="1"/>
  <c r="G213" i="1"/>
  <c r="AC12" i="1"/>
  <c r="N87" i="1"/>
  <c r="O87" i="1" s="1"/>
  <c r="N195" i="1"/>
  <c r="O195" i="1" s="1"/>
  <c r="N86" i="1"/>
  <c r="O86" i="1" s="1"/>
  <c r="N194" i="1"/>
  <c r="N191" i="1"/>
  <c r="O191" i="1" s="1"/>
  <c r="N178" i="1"/>
  <c r="N179" i="1"/>
  <c r="O179" i="1" s="1"/>
  <c r="N180" i="1"/>
  <c r="Q180" i="1" s="1"/>
  <c r="N181" i="1"/>
  <c r="N182" i="1"/>
  <c r="N183" i="1"/>
  <c r="N184" i="1"/>
  <c r="N186" i="1"/>
  <c r="N187" i="1"/>
  <c r="N188" i="1"/>
  <c r="O188" i="1" s="1"/>
  <c r="N189" i="1"/>
  <c r="N190" i="1"/>
  <c r="O190" i="1" s="1"/>
  <c r="N192" i="1"/>
  <c r="N193" i="1"/>
  <c r="N177" i="1"/>
  <c r="N165" i="1"/>
  <c r="O165" i="1" s="1"/>
  <c r="N166" i="1"/>
  <c r="O166" i="1" s="1"/>
  <c r="N167" i="1"/>
  <c r="N168" i="1"/>
  <c r="O168" i="1" s="1"/>
  <c r="N169" i="1"/>
  <c r="O169" i="1" s="1"/>
  <c r="N170" i="1"/>
  <c r="O170" i="1" s="1"/>
  <c r="N171" i="1"/>
  <c r="N172" i="1"/>
  <c r="N173" i="1"/>
  <c r="O173" i="1" s="1"/>
  <c r="N174" i="1"/>
  <c r="N175" i="1"/>
  <c r="O175" i="1" s="1"/>
  <c r="N176" i="1"/>
  <c r="N164" i="1"/>
  <c r="O164" i="1" s="1"/>
  <c r="N3" i="1"/>
  <c r="N6" i="1"/>
  <c r="P6" i="1" s="1"/>
  <c r="N7" i="1"/>
  <c r="N8" i="1"/>
  <c r="P8" i="1" s="1"/>
  <c r="N9" i="1"/>
  <c r="P9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8" i="1"/>
  <c r="N49" i="1"/>
  <c r="P49" i="1" s="1"/>
  <c r="N50" i="1"/>
  <c r="P50" i="1" s="1"/>
  <c r="N51" i="1"/>
  <c r="P51" i="1" s="1"/>
  <c r="N52" i="1"/>
  <c r="P52" i="1" s="1"/>
  <c r="N56" i="1"/>
  <c r="N57" i="1"/>
  <c r="P57" i="1" s="1"/>
  <c r="N58" i="1"/>
  <c r="P58" i="1" s="1"/>
  <c r="N59" i="1"/>
  <c r="P59" i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O70" i="1" s="1"/>
  <c r="N71" i="1"/>
  <c r="O71" i="1" s="1"/>
  <c r="N72" i="1"/>
  <c r="P72" i="1" s="1"/>
  <c r="N73" i="1"/>
  <c r="O73" i="1" s="1"/>
  <c r="N74" i="1"/>
  <c r="P74" i="1" s="1"/>
  <c r="N75" i="1"/>
  <c r="O75" i="1" s="1"/>
  <c r="N76" i="1"/>
  <c r="O76" i="1" s="1"/>
  <c r="N77" i="1"/>
  <c r="N78" i="1"/>
  <c r="O78" i="1" s="1"/>
  <c r="N79" i="1"/>
  <c r="P79" i="1" s="1"/>
  <c r="N80" i="1"/>
  <c r="N81" i="1"/>
  <c r="P81" i="1" s="1"/>
  <c r="N82" i="1"/>
  <c r="P82" i="1" s="1"/>
  <c r="N83" i="1"/>
  <c r="P83" i="1" s="1"/>
  <c r="N84" i="1"/>
  <c r="O84" i="1" s="1"/>
  <c r="N156" i="1"/>
  <c r="N157" i="1"/>
  <c r="N158" i="1"/>
  <c r="N159" i="1"/>
  <c r="O159" i="1" s="1"/>
  <c r="N160" i="1"/>
  <c r="O160" i="1" s="1"/>
  <c r="N115" i="1"/>
  <c r="N116" i="1"/>
  <c r="N117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53" i="1"/>
  <c r="P53" i="1" s="1"/>
  <c r="N54" i="1"/>
  <c r="P54" i="1" s="1"/>
  <c r="N55" i="1"/>
  <c r="P55" i="1" s="1"/>
  <c r="N47" i="1"/>
  <c r="P47" i="1" s="1"/>
  <c r="N85" i="1"/>
  <c r="O85" i="1" s="1"/>
  <c r="Q80" i="1"/>
  <c r="Q81" i="1" s="1"/>
  <c r="Q82" i="1" s="1"/>
  <c r="Q83" i="1" s="1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43" i="3"/>
  <c r="R44" i="3"/>
  <c r="R45" i="3"/>
  <c r="R46" i="3"/>
  <c r="R4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Q51" i="3"/>
  <c r="Q52" i="3"/>
  <c r="Q53" i="3"/>
  <c r="Q79" i="3" s="1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43" i="3"/>
  <c r="Q82" i="3" s="1"/>
  <c r="Q44" i="3"/>
  <c r="Q45" i="3"/>
  <c r="Q46" i="3"/>
  <c r="Q4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Q4" i="3"/>
  <c r="R50" i="3"/>
  <c r="R42" i="3"/>
  <c r="R6" i="3"/>
  <c r="R5" i="3"/>
  <c r="R4" i="3"/>
  <c r="Q5" i="3"/>
  <c r="Q42" i="3"/>
  <c r="Q50" i="3"/>
  <c r="Q6" i="3"/>
  <c r="N5" i="3"/>
  <c r="N6" i="3"/>
  <c r="N7" i="3"/>
  <c r="N42" i="3"/>
  <c r="N46" i="3"/>
  <c r="N45" i="3"/>
  <c r="N44" i="3"/>
  <c r="N43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4" i="3"/>
  <c r="N3" i="3"/>
  <c r="N2" i="3"/>
  <c r="N50" i="3"/>
  <c r="N49" i="3"/>
  <c r="N48" i="3"/>
  <c r="N47" i="3"/>
  <c r="F165" i="4"/>
  <c r="E165" i="4"/>
  <c r="D165" i="4"/>
  <c r="C165" i="4"/>
  <c r="B165" i="4"/>
  <c r="F195" i="4"/>
  <c r="E195" i="4"/>
  <c r="D195" i="4"/>
  <c r="C195" i="4"/>
  <c r="B195" i="4"/>
  <c r="F180" i="4"/>
  <c r="E180" i="4"/>
  <c r="D180" i="4"/>
  <c r="C180" i="4"/>
  <c r="B180" i="4"/>
  <c r="F150" i="4"/>
  <c r="E150" i="4"/>
  <c r="D150" i="4"/>
  <c r="C150" i="4"/>
  <c r="B150" i="4"/>
  <c r="F135" i="4"/>
  <c r="E135" i="4"/>
  <c r="D135" i="4"/>
  <c r="C135" i="4"/>
  <c r="B135" i="4"/>
  <c r="F120" i="4"/>
  <c r="E120" i="4"/>
  <c r="D120" i="4"/>
  <c r="C120" i="4"/>
  <c r="B120" i="4"/>
  <c r="F105" i="4"/>
  <c r="E105" i="4"/>
  <c r="D105" i="4"/>
  <c r="C105" i="4"/>
  <c r="B105" i="4"/>
  <c r="F90" i="4"/>
  <c r="E90" i="4"/>
  <c r="D90" i="4"/>
  <c r="C90" i="4"/>
  <c r="B90" i="4"/>
  <c r="F75" i="4"/>
  <c r="E75" i="4"/>
  <c r="D75" i="4"/>
  <c r="C75" i="4"/>
  <c r="B75" i="4"/>
  <c r="D60" i="4"/>
  <c r="F60" i="4"/>
  <c r="E60" i="4"/>
  <c r="C60" i="4"/>
  <c r="B60" i="4"/>
  <c r="B45" i="4"/>
  <c r="F45" i="4"/>
  <c r="E45" i="4"/>
  <c r="C45" i="4"/>
  <c r="F30" i="4"/>
  <c r="E30" i="4"/>
  <c r="C30" i="4"/>
  <c r="E15" i="4"/>
  <c r="C15" i="4"/>
  <c r="Z49" i="1"/>
  <c r="Y50" i="1"/>
  <c r="Z50" i="1"/>
  <c r="Y51" i="1"/>
  <c r="Z51" i="1"/>
  <c r="Y52" i="1"/>
  <c r="Z55" i="1"/>
  <c r="Y56" i="1"/>
  <c r="Z56" i="1"/>
  <c r="Y57" i="1"/>
  <c r="Z57" i="1"/>
  <c r="Y58" i="1"/>
  <c r="Z58" i="1"/>
  <c r="Y59" i="1"/>
  <c r="Z59" i="1"/>
  <c r="Y60" i="1"/>
  <c r="Z60" i="1"/>
  <c r="Y61" i="1"/>
  <c r="Z61" i="1"/>
  <c r="Y62" i="1"/>
  <c r="Z62" i="1"/>
  <c r="Y63" i="1"/>
  <c r="Z63" i="1"/>
  <c r="Y64" i="1"/>
  <c r="Z64" i="1"/>
  <c r="Y65" i="1"/>
  <c r="Z65" i="1"/>
  <c r="Y66" i="1"/>
  <c r="Z66" i="1"/>
  <c r="Y67" i="1"/>
  <c r="Z67" i="1"/>
  <c r="Y68" i="1"/>
  <c r="Z68" i="1"/>
  <c r="Z69" i="1"/>
  <c r="Y70" i="1"/>
  <c r="Z70" i="1"/>
  <c r="Y71" i="1"/>
  <c r="Z71" i="1"/>
  <c r="Y72" i="1"/>
  <c r="Z72" i="1"/>
  <c r="Y73" i="1"/>
  <c r="Z73" i="1"/>
  <c r="Y74" i="1"/>
  <c r="Z74" i="1"/>
  <c r="Y75" i="1"/>
  <c r="Z75" i="1"/>
  <c r="Y76" i="1"/>
  <c r="Z76" i="1"/>
  <c r="Y77" i="1"/>
  <c r="Z77" i="1"/>
  <c r="Y78" i="1"/>
  <c r="Z78" i="1"/>
  <c r="Y79" i="1"/>
  <c r="N11" i="1"/>
  <c r="N10" i="1"/>
  <c r="Z6" i="1"/>
  <c r="Y7" i="1"/>
  <c r="Z8" i="1"/>
  <c r="Y9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7" i="1"/>
  <c r="Y48" i="1"/>
  <c r="Z48" i="1"/>
  <c r="Y49" i="1"/>
  <c r="AC78" i="1"/>
  <c r="AB79" i="1"/>
  <c r="AC77" i="1"/>
  <c r="AB78" i="1"/>
  <c r="AC76" i="1"/>
  <c r="AB77" i="1"/>
  <c r="AC75" i="1"/>
  <c r="AB76" i="1"/>
  <c r="AC74" i="1"/>
  <c r="AB75" i="1"/>
  <c r="AC73" i="1"/>
  <c r="AB74" i="1"/>
  <c r="AC72" i="1"/>
  <c r="AB73" i="1"/>
  <c r="AC71" i="1"/>
  <c r="AB72" i="1"/>
  <c r="AC70" i="1"/>
  <c r="AB71" i="1"/>
  <c r="AC69" i="1"/>
  <c r="AB70" i="1"/>
  <c r="AC68" i="1"/>
  <c r="AB69" i="1"/>
  <c r="AC67" i="1"/>
  <c r="AB68" i="1"/>
  <c r="AC66" i="1"/>
  <c r="AB67" i="1"/>
  <c r="AC65" i="1"/>
  <c r="AB66" i="1"/>
  <c r="AC64" i="1"/>
  <c r="AB65" i="1"/>
  <c r="AC63" i="1"/>
  <c r="AB64" i="1"/>
  <c r="AC62" i="1"/>
  <c r="AB63" i="1"/>
  <c r="AC61" i="1"/>
  <c r="AB62" i="1"/>
  <c r="AC60" i="1"/>
  <c r="AB61" i="1"/>
  <c r="AC59" i="1"/>
  <c r="AB60" i="1"/>
  <c r="AC58" i="1"/>
  <c r="AB59" i="1"/>
  <c r="AC57" i="1"/>
  <c r="AB58" i="1"/>
  <c r="AC56" i="1"/>
  <c r="AB57" i="1"/>
  <c r="AC55" i="1"/>
  <c r="AB56" i="1"/>
  <c r="AC51" i="1"/>
  <c r="AB52" i="1"/>
  <c r="AC50" i="1"/>
  <c r="AB51" i="1"/>
  <c r="AC49" i="1"/>
  <c r="AB50" i="1"/>
  <c r="AC48" i="1"/>
  <c r="AB49" i="1"/>
  <c r="AC47" i="1"/>
  <c r="AB48" i="1"/>
  <c r="AC46" i="1"/>
  <c r="AB47" i="1"/>
  <c r="AC45" i="1"/>
  <c r="AB46" i="1"/>
  <c r="AC44" i="1"/>
  <c r="AB45" i="1"/>
  <c r="AC43" i="1"/>
  <c r="AB44" i="1"/>
  <c r="AC42" i="1"/>
  <c r="AB43" i="1"/>
  <c r="AC41" i="1"/>
  <c r="AB42" i="1"/>
  <c r="AC40" i="1"/>
  <c r="AB41" i="1"/>
  <c r="AC39" i="1"/>
  <c r="AB40" i="1"/>
  <c r="AC38" i="1"/>
  <c r="AB39" i="1"/>
  <c r="AC37" i="1"/>
  <c r="AB38" i="1"/>
  <c r="AC36" i="1"/>
  <c r="AB37" i="1"/>
  <c r="AC35" i="1"/>
  <c r="AB36" i="1"/>
  <c r="AC34" i="1"/>
  <c r="AB35" i="1"/>
  <c r="AC33" i="1"/>
  <c r="AB34" i="1"/>
  <c r="AC32" i="1"/>
  <c r="AB33" i="1"/>
  <c r="AC31" i="1"/>
  <c r="AB32" i="1"/>
  <c r="AC30" i="1"/>
  <c r="AB31" i="1"/>
  <c r="AC29" i="1"/>
  <c r="AB30" i="1"/>
  <c r="AC28" i="1"/>
  <c r="AB29" i="1"/>
  <c r="AC27" i="1"/>
  <c r="AB28" i="1"/>
  <c r="AC26" i="1"/>
  <c r="AB27" i="1"/>
  <c r="AC25" i="1"/>
  <c r="AB26" i="1"/>
  <c r="AC24" i="1"/>
  <c r="AB25" i="1"/>
  <c r="AC23" i="1"/>
  <c r="AB24" i="1"/>
  <c r="AC22" i="1"/>
  <c r="AB23" i="1"/>
  <c r="AC21" i="1"/>
  <c r="AB22" i="1"/>
  <c r="AC20" i="1"/>
  <c r="AB21" i="1"/>
  <c r="AC19" i="1"/>
  <c r="AB20" i="1"/>
  <c r="AC18" i="1"/>
  <c r="AB19" i="1"/>
  <c r="AC17" i="1"/>
  <c r="AB18" i="1"/>
  <c r="AC16" i="1"/>
  <c r="AB17" i="1"/>
  <c r="AC15" i="1"/>
  <c r="AB16" i="1"/>
  <c r="AC14" i="1"/>
  <c r="AB15" i="1"/>
  <c r="AC13" i="1"/>
  <c r="AB14" i="1"/>
  <c r="AB13" i="1"/>
  <c r="AC8" i="1"/>
  <c r="AB9" i="1"/>
  <c r="AC6" i="1"/>
  <c r="AB7" i="1"/>
  <c r="N163" i="1"/>
  <c r="N162" i="1"/>
  <c r="N161" i="1"/>
  <c r="N155" i="1"/>
  <c r="N120" i="1"/>
  <c r="N119" i="1"/>
  <c r="N118" i="1"/>
  <c r="AC54" i="1"/>
  <c r="AB55" i="1"/>
  <c r="AC53" i="1"/>
  <c r="AB54" i="1"/>
  <c r="AC52" i="1"/>
  <c r="AB53" i="1"/>
  <c r="AC11" i="1"/>
  <c r="AB12" i="1"/>
  <c r="AC9" i="1"/>
  <c r="AB10" i="1"/>
  <c r="AB11" i="1"/>
  <c r="AB8" i="1"/>
  <c r="AB6" i="1"/>
  <c r="AB3" i="1"/>
  <c r="AC79" i="1"/>
  <c r="AC10" i="1"/>
  <c r="AC7" i="1"/>
  <c r="AC3" i="1"/>
  <c r="Z3" i="1"/>
  <c r="Y6" i="1"/>
  <c r="Z7" i="1"/>
  <c r="Y8" i="1"/>
  <c r="Z9" i="1"/>
  <c r="Z46" i="1"/>
  <c r="Z52" i="1"/>
  <c r="Z54" i="1"/>
  <c r="Z79" i="1"/>
  <c r="Y3" i="1"/>
  <c r="Y12" i="1"/>
  <c r="K213" i="1"/>
  <c r="L213" i="1"/>
  <c r="O178" i="1"/>
  <c r="O186" i="1"/>
  <c r="R211" i="1" l="1"/>
  <c r="R210" i="1"/>
  <c r="Q211" i="1"/>
  <c r="R209" i="1"/>
  <c r="R208" i="1"/>
  <c r="R206" i="1"/>
  <c r="R207" i="1"/>
  <c r="Q189" i="1"/>
  <c r="R82" i="3"/>
  <c r="R183" i="1"/>
  <c r="P203" i="1"/>
  <c r="R83" i="3"/>
  <c r="R203" i="1"/>
  <c r="Q83" i="3"/>
  <c r="P3" i="1"/>
  <c r="I110" i="1"/>
  <c r="O183" i="1"/>
  <c r="R202" i="1"/>
  <c r="Q197" i="1"/>
  <c r="N77" i="3"/>
  <c r="O185" i="1"/>
  <c r="R204" i="1"/>
  <c r="Q194" i="1"/>
  <c r="P202" i="1"/>
  <c r="Q198" i="1"/>
  <c r="O197" i="1"/>
  <c r="O193" i="1"/>
  <c r="P149" i="1"/>
  <c r="P204" i="1"/>
  <c r="N214" i="1"/>
  <c r="P71" i="1"/>
  <c r="R52" i="1"/>
  <c r="T52" i="1" s="1"/>
  <c r="O82" i="1"/>
  <c r="P75" i="1"/>
  <c r="O167" i="1"/>
  <c r="R44" i="1"/>
  <c r="T44" i="1" s="1"/>
  <c r="R69" i="1"/>
  <c r="T69" i="1" s="1"/>
  <c r="Q179" i="1"/>
  <c r="O94" i="1"/>
  <c r="O93" i="1"/>
  <c r="P156" i="1"/>
  <c r="P131" i="1"/>
  <c r="AD118" i="1"/>
  <c r="Q176" i="1"/>
  <c r="P107" i="1"/>
  <c r="R36" i="1"/>
  <c r="T36" i="1" s="1"/>
  <c r="R22" i="1"/>
  <c r="T22" i="1" s="1"/>
  <c r="P76" i="1"/>
  <c r="R28" i="1"/>
  <c r="T28" i="1" s="1"/>
  <c r="R70" i="1"/>
  <c r="T70" i="1" s="1"/>
  <c r="R80" i="1"/>
  <c r="U80" i="1"/>
  <c r="U40" i="1"/>
  <c r="W40" i="1" s="1"/>
  <c r="U42" i="1"/>
  <c r="W42" i="1" s="1"/>
  <c r="U71" i="1"/>
  <c r="W71" i="1" s="1"/>
  <c r="U73" i="1"/>
  <c r="W73" i="1" s="1"/>
  <c r="R48" i="1"/>
  <c r="T48" i="1" s="1"/>
  <c r="R41" i="1"/>
  <c r="T41" i="1" s="1"/>
  <c r="R86" i="1"/>
  <c r="U29" i="1"/>
  <c r="W29" i="1" s="1"/>
  <c r="R189" i="1"/>
  <c r="Q168" i="1"/>
  <c r="Q190" i="1"/>
  <c r="P188" i="1"/>
  <c r="R172" i="1"/>
  <c r="P177" i="1"/>
  <c r="P193" i="1"/>
  <c r="Q195" i="1"/>
  <c r="P185" i="1"/>
  <c r="P168" i="1"/>
  <c r="P155" i="1"/>
  <c r="P145" i="1"/>
  <c r="P128" i="1"/>
  <c r="R135" i="1"/>
  <c r="Q170" i="1"/>
  <c r="O181" i="1"/>
  <c r="R191" i="1"/>
  <c r="P164" i="1"/>
  <c r="Q166" i="1"/>
  <c r="O171" i="1"/>
  <c r="Q171" i="1"/>
  <c r="P197" i="1"/>
  <c r="O194" i="1"/>
  <c r="O189" i="1"/>
  <c r="Q186" i="1"/>
  <c r="R148" i="1"/>
  <c r="P179" i="1"/>
  <c r="P195" i="1"/>
  <c r="Q169" i="1"/>
  <c r="P150" i="1"/>
  <c r="P129" i="1"/>
  <c r="R66" i="1"/>
  <c r="T66" i="1" s="1"/>
  <c r="U89" i="1"/>
  <c r="R81" i="1"/>
  <c r="R27" i="1"/>
  <c r="T27" i="1" s="1"/>
  <c r="O69" i="1"/>
  <c r="Q81" i="3"/>
  <c r="Q77" i="3" s="1"/>
  <c r="R155" i="1"/>
  <c r="R152" i="1"/>
  <c r="R144" i="1"/>
  <c r="R190" i="1"/>
  <c r="P176" i="1"/>
  <c r="R138" i="1"/>
  <c r="R139" i="1"/>
  <c r="P165" i="1"/>
  <c r="R187" i="1"/>
  <c r="R170" i="1"/>
  <c r="R151" i="1"/>
  <c r="P163" i="1"/>
  <c r="R164" i="1"/>
  <c r="R184" i="1"/>
  <c r="R137" i="1"/>
  <c r="P170" i="1"/>
  <c r="P169" i="1"/>
  <c r="R180" i="1"/>
  <c r="R59" i="1"/>
  <c r="T59" i="1" s="1"/>
  <c r="N79" i="3"/>
  <c r="R173" i="1"/>
  <c r="P148" i="1"/>
  <c r="P143" i="1"/>
  <c r="R149" i="1"/>
  <c r="AD120" i="1"/>
  <c r="R199" i="1"/>
  <c r="O180" i="1"/>
  <c r="R197" i="1"/>
  <c r="Q181" i="1"/>
  <c r="P189" i="1"/>
  <c r="R146" i="1"/>
  <c r="Q178" i="1"/>
  <c r="R196" i="1"/>
  <c r="O177" i="1"/>
  <c r="O184" i="1"/>
  <c r="P192" i="1"/>
  <c r="Q185" i="1"/>
  <c r="Q184" i="1"/>
  <c r="M213" i="1"/>
  <c r="N213" i="1" s="1"/>
  <c r="P105" i="1"/>
  <c r="P174" i="1"/>
  <c r="P137" i="1"/>
  <c r="AD119" i="1"/>
  <c r="R140" i="1"/>
  <c r="P158" i="1"/>
  <c r="R158" i="1"/>
  <c r="R157" i="1"/>
  <c r="R162" i="1"/>
  <c r="R175" i="1"/>
  <c r="P187" i="1"/>
  <c r="P190" i="1"/>
  <c r="P126" i="1"/>
  <c r="P127" i="1"/>
  <c r="R37" i="1"/>
  <c r="T37" i="1" s="1"/>
  <c r="R167" i="1"/>
  <c r="R168" i="1"/>
  <c r="P154" i="1"/>
  <c r="P152" i="1"/>
  <c r="R163" i="1"/>
  <c r="R160" i="1"/>
  <c r="P147" i="1"/>
  <c r="R136" i="1"/>
  <c r="R178" i="1"/>
  <c r="Q177" i="1"/>
  <c r="O176" i="1"/>
  <c r="R194" i="1"/>
  <c r="R195" i="1"/>
  <c r="R186" i="1"/>
  <c r="O187" i="1"/>
  <c r="Q188" i="1"/>
  <c r="P196" i="1"/>
  <c r="Q187" i="1"/>
  <c r="P141" i="1"/>
  <c r="R176" i="1"/>
  <c r="P166" i="1"/>
  <c r="O174" i="1"/>
  <c r="R192" i="1"/>
  <c r="Q174" i="1"/>
  <c r="Q175" i="1"/>
  <c r="P182" i="1"/>
  <c r="R179" i="1"/>
  <c r="P184" i="1"/>
  <c r="R193" i="1"/>
  <c r="R161" i="1"/>
  <c r="P140" i="1"/>
  <c r="P186" i="1"/>
  <c r="P139" i="1"/>
  <c r="P162" i="1"/>
  <c r="R143" i="1"/>
  <c r="P183" i="1"/>
  <c r="R154" i="1"/>
  <c r="P171" i="1"/>
  <c r="R181" i="1"/>
  <c r="R182" i="1"/>
  <c r="P172" i="1"/>
  <c r="R79" i="3"/>
  <c r="R171" i="1"/>
  <c r="P161" i="1"/>
  <c r="P160" i="1"/>
  <c r="R169" i="1"/>
  <c r="P159" i="1"/>
  <c r="R166" i="1"/>
  <c r="P153" i="1"/>
  <c r="P138" i="1"/>
  <c r="P132" i="1"/>
  <c r="P134" i="1"/>
  <c r="P130" i="1"/>
  <c r="P125" i="1"/>
  <c r="O80" i="1"/>
  <c r="P80" i="1"/>
  <c r="O172" i="1"/>
  <c r="R188" i="1"/>
  <c r="Q173" i="1"/>
  <c r="P181" i="1"/>
  <c r="P173" i="1"/>
  <c r="P178" i="1"/>
  <c r="Q172" i="1"/>
  <c r="P180" i="1"/>
  <c r="P201" i="1"/>
  <c r="O192" i="1"/>
  <c r="Q193" i="1"/>
  <c r="R201" i="1"/>
  <c r="O182" i="1"/>
  <c r="Q183" i="1"/>
  <c r="P191" i="1"/>
  <c r="Q182" i="1"/>
  <c r="U19" i="1"/>
  <c r="W19" i="1" s="1"/>
  <c r="U31" i="1"/>
  <c r="W31" i="1" s="1"/>
  <c r="R185" i="1"/>
  <c r="P200" i="1"/>
  <c r="O91" i="1"/>
  <c r="R150" i="1"/>
  <c r="R141" i="1"/>
  <c r="P157" i="1"/>
  <c r="P146" i="1"/>
  <c r="R165" i="1"/>
  <c r="R159" i="1"/>
  <c r="AD121" i="1"/>
  <c r="Q167" i="1"/>
  <c r="R145" i="1"/>
  <c r="P175" i="1"/>
  <c r="R153" i="1"/>
  <c r="P136" i="1"/>
  <c r="P151" i="1"/>
  <c r="R147" i="1"/>
  <c r="R174" i="1"/>
  <c r="P194" i="1"/>
  <c r="Q191" i="1"/>
  <c r="Q192" i="1"/>
  <c r="Q196" i="1"/>
  <c r="U22" i="1"/>
  <c r="W22" i="1" s="1"/>
  <c r="U26" i="1"/>
  <c r="W26" i="1" s="1"/>
  <c r="U38" i="1"/>
  <c r="W38" i="1" s="1"/>
  <c r="U59" i="1"/>
  <c r="W59" i="1" s="1"/>
  <c r="R46" i="1"/>
  <c r="T46" i="1" s="1"/>
  <c r="R42" i="1"/>
  <c r="T42" i="1" s="1"/>
  <c r="R30" i="1"/>
  <c r="T30" i="1" s="1"/>
  <c r="P133" i="1"/>
  <c r="R200" i="1"/>
  <c r="R198" i="1"/>
  <c r="U87" i="1"/>
  <c r="U13" i="1"/>
  <c r="W13" i="1" s="1"/>
  <c r="U23" i="1"/>
  <c r="W23" i="1" s="1"/>
  <c r="U27" i="1"/>
  <c r="W27" i="1" s="1"/>
  <c r="U39" i="1"/>
  <c r="W39" i="1" s="1"/>
  <c r="P198" i="1"/>
  <c r="P135" i="1"/>
  <c r="R142" i="1"/>
  <c r="P167" i="1"/>
  <c r="R177" i="1"/>
  <c r="R156" i="1"/>
  <c r="P144" i="1"/>
  <c r="R81" i="3"/>
  <c r="R77" i="3" s="1"/>
  <c r="P142" i="1"/>
  <c r="U75" i="1"/>
  <c r="W75" i="1" s="1"/>
  <c r="U79" i="1"/>
  <c r="W79" i="1" s="1"/>
  <c r="P199" i="1"/>
  <c r="U88" i="1"/>
  <c r="U84" i="1"/>
  <c r="O92" i="1"/>
  <c r="U62" i="1"/>
  <c r="W62" i="1" s="1"/>
  <c r="R31" i="1"/>
  <c r="T31" i="1" s="1"/>
  <c r="R23" i="1"/>
  <c r="T23" i="1" s="1"/>
  <c r="U67" i="1"/>
  <c r="W67" i="1" s="1"/>
  <c r="U21" i="1"/>
  <c r="W21" i="1" s="1"/>
  <c r="R68" i="1"/>
  <c r="T68" i="1" s="1"/>
  <c r="R60" i="1"/>
  <c r="T60" i="1" s="1"/>
  <c r="U60" i="1"/>
  <c r="W60" i="1" s="1"/>
  <c r="U61" i="1"/>
  <c r="W61" i="1" s="1"/>
  <c r="U76" i="1"/>
  <c r="W76" i="1" s="1"/>
  <c r="R49" i="1"/>
  <c r="T49" i="1" s="1"/>
  <c r="R17" i="1"/>
  <c r="T17" i="1" s="1"/>
  <c r="U25" i="1"/>
  <c r="W25" i="1" s="1"/>
  <c r="K110" i="1"/>
  <c r="U41" i="1"/>
  <c r="W41" i="1" s="1"/>
  <c r="O81" i="1"/>
  <c r="U35" i="1"/>
  <c r="W35" i="1" s="1"/>
  <c r="R39" i="1"/>
  <c r="T39" i="1" s="1"/>
  <c r="R78" i="1"/>
  <c r="T78" i="1" s="1"/>
  <c r="R74" i="1"/>
  <c r="T74" i="1" s="1"/>
  <c r="R62" i="1"/>
  <c r="T62" i="1" s="1"/>
  <c r="O79" i="1"/>
  <c r="U46" i="1"/>
  <c r="W46" i="1" s="1"/>
  <c r="U64" i="1"/>
  <c r="W64" i="1" s="1"/>
  <c r="R15" i="1"/>
  <c r="T15" i="1" s="1"/>
  <c r="S109" i="1"/>
  <c r="P73" i="1"/>
  <c r="R87" i="1"/>
  <c r="U17" i="1"/>
  <c r="W17" i="1" s="1"/>
  <c r="U28" i="1"/>
  <c r="W28" i="1" s="1"/>
  <c r="U45" i="1"/>
  <c r="W45" i="1" s="1"/>
  <c r="U49" i="1"/>
  <c r="W49" i="1" s="1"/>
  <c r="U56" i="1"/>
  <c r="W56" i="1" s="1"/>
  <c r="U63" i="1"/>
  <c r="W63" i="1" s="1"/>
  <c r="U70" i="1"/>
  <c r="W70" i="1" s="1"/>
  <c r="R20" i="1"/>
  <c r="T20" i="1" s="1"/>
  <c r="R9" i="1"/>
  <c r="T9" i="1" s="1"/>
  <c r="R63" i="1"/>
  <c r="T63" i="1" s="1"/>
  <c r="P7" i="1"/>
  <c r="U82" i="1"/>
  <c r="R77" i="1"/>
  <c r="T77" i="1" s="1"/>
  <c r="R45" i="1"/>
  <c r="T45" i="1" s="1"/>
  <c r="P78" i="1"/>
  <c r="U30" i="1"/>
  <c r="W30" i="1" s="1"/>
  <c r="U37" i="1"/>
  <c r="W37" i="1" s="1"/>
  <c r="U43" i="1"/>
  <c r="W43" i="1" s="1"/>
  <c r="U47" i="1"/>
  <c r="W47" i="1" s="1"/>
  <c r="U51" i="1"/>
  <c r="W51" i="1" s="1"/>
  <c r="U58" i="1"/>
  <c r="W58" i="1" s="1"/>
  <c r="U68" i="1"/>
  <c r="W68" i="1" s="1"/>
  <c r="R65" i="1"/>
  <c r="T65" i="1" s="1"/>
  <c r="R57" i="1"/>
  <c r="T57" i="1" s="1"/>
  <c r="R85" i="1"/>
  <c r="U57" i="1"/>
  <c r="W57" i="1" s="1"/>
  <c r="R38" i="1"/>
  <c r="T38" i="1" s="1"/>
  <c r="R19" i="1"/>
  <c r="T19" i="1" s="1"/>
  <c r="R73" i="1"/>
  <c r="T73" i="1" s="1"/>
  <c r="R51" i="1"/>
  <c r="T51" i="1" s="1"/>
  <c r="U33" i="1"/>
  <c r="W33" i="1" s="1"/>
  <c r="R26" i="1"/>
  <c r="T26" i="1" s="1"/>
  <c r="R40" i="1"/>
  <c r="T40" i="1" s="1"/>
  <c r="R13" i="1"/>
  <c r="T13" i="1" s="1"/>
  <c r="R64" i="1"/>
  <c r="T64" i="1" s="1"/>
  <c r="U83" i="1"/>
  <c r="U50" i="1"/>
  <c r="W50" i="1" s="1"/>
  <c r="R7" i="1"/>
  <c r="T7" i="1" s="1"/>
  <c r="U24" i="1"/>
  <c r="W24" i="1" s="1"/>
  <c r="U44" i="1"/>
  <c r="W44" i="1" s="1"/>
  <c r="U48" i="1"/>
  <c r="W48" i="1" s="1"/>
  <c r="U52" i="1"/>
  <c r="W52" i="1" s="1"/>
  <c r="U69" i="1"/>
  <c r="W69" i="1" s="1"/>
  <c r="R24" i="1"/>
  <c r="T24" i="1" s="1"/>
  <c r="R88" i="1"/>
  <c r="S111" i="1"/>
  <c r="O83" i="1"/>
  <c r="O72" i="1"/>
  <c r="U7" i="1"/>
  <c r="W7" i="1" s="1"/>
  <c r="U14" i="1"/>
  <c r="W14" i="1" s="1"/>
  <c r="U18" i="1"/>
  <c r="W18" i="1" s="1"/>
  <c r="U34" i="1"/>
  <c r="W34" i="1" s="1"/>
  <c r="U66" i="1"/>
  <c r="W66" i="1" s="1"/>
  <c r="U74" i="1"/>
  <c r="W74" i="1" s="1"/>
  <c r="U78" i="1"/>
  <c r="W78" i="1" s="1"/>
  <c r="R34" i="1"/>
  <c r="T34" i="1" s="1"/>
  <c r="R18" i="1"/>
  <c r="T18" i="1" s="1"/>
  <c r="R14" i="1"/>
  <c r="T14" i="1" s="1"/>
  <c r="R79" i="1"/>
  <c r="T79" i="1" s="1"/>
  <c r="R75" i="1"/>
  <c r="T75" i="1" s="1"/>
  <c r="R71" i="1"/>
  <c r="T71" i="1" s="1"/>
  <c r="R56" i="1"/>
  <c r="T56" i="1" s="1"/>
  <c r="U85" i="1"/>
  <c r="U81" i="1"/>
  <c r="U15" i="1"/>
  <c r="W15" i="1" s="1"/>
  <c r="U72" i="1"/>
  <c r="W72" i="1" s="1"/>
  <c r="R33" i="1"/>
  <c r="T33" i="1" s="1"/>
  <c r="V109" i="1"/>
  <c r="U9" i="1"/>
  <c r="W9" i="1" s="1"/>
  <c r="U16" i="1"/>
  <c r="W16" i="1" s="1"/>
  <c r="U32" i="1"/>
  <c r="W32" i="1" s="1"/>
  <c r="R32" i="1"/>
  <c r="T32" i="1" s="1"/>
  <c r="R16" i="1"/>
  <c r="T16" i="1" s="1"/>
  <c r="R67" i="1"/>
  <c r="T67" i="1" s="1"/>
  <c r="R83" i="1"/>
  <c r="R58" i="1"/>
  <c r="T58" i="1" s="1"/>
  <c r="P77" i="1"/>
  <c r="J110" i="1"/>
  <c r="R82" i="1"/>
  <c r="R43" i="1"/>
  <c r="T43" i="1" s="1"/>
  <c r="R29" i="1"/>
  <c r="T29" i="1" s="1"/>
  <c r="R21" i="1"/>
  <c r="T21" i="1" s="1"/>
  <c r="R61" i="1"/>
  <c r="T61" i="1" s="1"/>
  <c r="L110" i="1"/>
  <c r="P70" i="1"/>
  <c r="U20" i="1"/>
  <c r="W20" i="1" s="1"/>
  <c r="U36" i="1"/>
  <c r="W36" i="1" s="1"/>
  <c r="U65" i="1"/>
  <c r="W65" i="1" s="1"/>
  <c r="U77" i="1"/>
  <c r="W77" i="1" s="1"/>
  <c r="R35" i="1"/>
  <c r="T35" i="1" s="1"/>
  <c r="R25" i="1"/>
  <c r="T25" i="1" s="1"/>
  <c r="R76" i="1"/>
  <c r="T76" i="1" s="1"/>
  <c r="R72" i="1"/>
  <c r="T72" i="1" s="1"/>
  <c r="R50" i="1"/>
  <c r="T50" i="1" s="1"/>
  <c r="O77" i="1"/>
  <c r="R84" i="1"/>
  <c r="U86" i="1"/>
  <c r="V110" i="1"/>
  <c r="S110" i="1"/>
  <c r="P56" i="1"/>
  <c r="O74" i="1"/>
  <c r="AB126" i="1"/>
  <c r="AB128" i="1" s="1"/>
  <c r="P48" i="1"/>
  <c r="Q210" i="1" l="1"/>
  <c r="Q209" i="1"/>
  <c r="Q208" i="1"/>
  <c r="Q207" i="1"/>
  <c r="Q206" i="1"/>
  <c r="N110" i="1"/>
  <c r="AD122" i="1"/>
  <c r="R106" i="1"/>
  <c r="U106" i="1"/>
</calcChain>
</file>

<file path=xl/sharedStrings.xml><?xml version="1.0" encoding="utf-8"?>
<sst xmlns="http://schemas.openxmlformats.org/spreadsheetml/2006/main" count="1701" uniqueCount="98">
  <si>
    <t>YEAR</t>
  </si>
  <si>
    <t>JAN P</t>
  </si>
  <si>
    <t>FEB P</t>
  </si>
  <si>
    <t>MAR P</t>
  </si>
  <si>
    <t>APR P</t>
  </si>
  <si>
    <t>MAY P</t>
  </si>
  <si>
    <t>JUN P</t>
  </si>
  <si>
    <t>JUL P</t>
  </si>
  <si>
    <t>AUG P</t>
  </si>
  <si>
    <t>SEP P</t>
  </si>
  <si>
    <t>OCT P</t>
  </si>
  <si>
    <t>NOV P</t>
  </si>
  <si>
    <t>DEC P</t>
  </si>
  <si>
    <t>N</t>
  </si>
  <si>
    <t xml:space="preserve"> </t>
  </si>
  <si>
    <t>Oct-Dec</t>
  </si>
  <si>
    <t>Jan-June</t>
  </si>
  <si>
    <t>missing months</t>
  </si>
  <si>
    <t>Oct-June</t>
  </si>
  <si>
    <t>average</t>
  </si>
  <si>
    <t>% of avg</t>
  </si>
  <si>
    <t>Sept-Dec</t>
  </si>
  <si>
    <t>Jan-Aug</t>
  </si>
  <si>
    <t>Sept-Aug</t>
  </si>
  <si>
    <t>Jan-Dec</t>
  </si>
  <si>
    <t>water year</t>
  </si>
  <si>
    <t>WY total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</si>
  <si>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</si>
  <si>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</si>
  <si>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</si>
  <si>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</si>
  <si>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</si>
  <si>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</si>
  <si>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</si>
  <si>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</si>
  <si>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</si>
  <si>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</si>
  <si>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</si>
  <si>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</si>
  <si>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HQ</t>
  </si>
  <si>
    <t>Nov-Mar totals</t>
  </si>
  <si>
    <t>Oct-Mar totals</t>
  </si>
  <si>
    <t>3/11/04 not using yrs with any missing months ('33,'77,'78,'04)</t>
  </si>
  <si>
    <t>total '29-'32 (no '30)</t>
  </si>
  <si>
    <t>total '71-'75</t>
  </si>
  <si>
    <t/>
  </si>
  <si>
    <t>TA-16</t>
  </si>
  <si>
    <t>firetower</t>
  </si>
  <si>
    <t>NADP stn</t>
  </si>
  <si>
    <t>Frijolito</t>
  </si>
  <si>
    <t>TA-49</t>
  </si>
  <si>
    <t>3.03+</t>
  </si>
  <si>
    <t>.08+</t>
  </si>
  <si>
    <t>2.95+</t>
  </si>
  <si>
    <t>total</t>
  </si>
  <si>
    <t>HQ stn</t>
  </si>
  <si>
    <t>avg '01-'03</t>
  </si>
  <si>
    <t>avg '98-'00</t>
  </si>
  <si>
    <t>maximum</t>
  </si>
  <si>
    <t>minimum</t>
  </si>
  <si>
    <t>WATER YEAR</t>
  </si>
  <si>
    <t>mean</t>
  </si>
  <si>
    <t>median</t>
  </si>
  <si>
    <t>mean1</t>
  </si>
  <si>
    <t>mean2</t>
  </si>
  <si>
    <t>mean3</t>
  </si>
  <si>
    <t>total 71-75</t>
  </si>
  <si>
    <t>total 35-69</t>
  </si>
  <si>
    <t>total 25-32</t>
  </si>
  <si>
    <t>no 1930</t>
  </si>
  <si>
    <t>total '36-'69</t>
  </si>
  <si>
    <t>93-04 CY total</t>
  </si>
  <si>
    <t>93-04 average</t>
  </si>
  <si>
    <t>avg '71-'00</t>
  </si>
  <si>
    <t>avg '61-'90</t>
  </si>
  <si>
    <t>total 79-07</t>
  </si>
  <si>
    <t>74 yr CY avg</t>
  </si>
  <si>
    <t>avg '98-'07</t>
  </si>
  <si>
    <t>total '79-'08</t>
  </si>
  <si>
    <t>avg '29-'08 (72 yrs)</t>
  </si>
  <si>
    <t>avg '29-'04 (68 yrs)</t>
  </si>
  <si>
    <t>April</t>
  </si>
  <si>
    <t>June</t>
  </si>
  <si>
    <t>Nov-Mar</t>
  </si>
  <si>
    <t>30 yr avg</t>
  </si>
  <si>
    <t>20yr avg</t>
  </si>
  <si>
    <t>long avg</t>
  </si>
  <si>
    <t>20 yr avg</t>
  </si>
  <si>
    <t>2-yr avg</t>
  </si>
  <si>
    <t>10-yr avg</t>
  </si>
  <si>
    <t>20-yr avg</t>
  </si>
  <si>
    <t>Jul-Sep</t>
  </si>
  <si>
    <t>year</t>
  </si>
  <si>
    <t>Annual CY Total</t>
  </si>
  <si>
    <t>Mean</t>
  </si>
  <si>
    <t>Median</t>
  </si>
  <si>
    <t>sum</t>
  </si>
  <si>
    <t>avg '25-'25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</si>
</sst>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name val="Arial"/>
      <family val="2"/>
    </font>
    <font>
      <b/>
      <sz val="7"/>
      <color indexed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right"/>
    </xf>
    <xf numFmtId="2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2" fontId="2" fillId="2" borderId="0" xfId="0" applyNumberFormat="1" applyFont="1" applyFill="1"/>
    <xf numFmtId="0" fontId="3" fillId="0" borderId="0" xfId="0" applyFont="1"/>
    <xf numFmtId="2" fontId="3" fillId="0" borderId="0" xfId="0" applyNumberFormat="1" applyFont="1"/>
    <xf numFmtId="2" fontId="4" fillId="0" borderId="0" xfId="0" applyNumberFormat="1" applyFont="1"/>
    <xf numFmtId="1" fontId="3" fillId="0" borderId="0" xfId="0" applyNumberFormat="1" applyFont="1"/>
    <xf numFmtId="0" fontId="1" fillId="0" borderId="0" xfId="0" applyFont="1" applyAlignment="1">
      <alignment horizontal="center" wrapText="1"/>
    </xf>
    <xf numFmtId="0" fontId="3" fillId="3" borderId="0" xfId="0" applyFont="1" applyFill="1"/>
    <xf numFmtId="2" fontId="3" fillId="3" borderId="0" xfId="0" applyNumberFormat="1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2" fontId="0" fillId="0" borderId="0" xfId="0" applyNumberFormat="1"/>
    <xf numFmtId="1" fontId="2" fillId="0" borderId="0" xfId="0" applyNumberFormat="1" applyFont="1"/>
    <xf numFmtId="9" fontId="1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0" fontId="9" fillId="0" borderId="0" xfId="0" applyFont="1"/>
    <xf numFmtId="0" fontId="2" fillId="0" borderId="0" xfId="0" applyFont="1" applyAlignment="1">
      <alignment wrapText="1"/>
    </xf>
    <xf numFmtId="0" fontId="2" fillId="4" borderId="0" xfId="0" applyFont="1" applyFill="1" applyAlignment="1">
      <alignment horizontal="right"/>
    </xf>
    <xf numFmtId="2" fontId="3" fillId="4" borderId="0" xfId="0" applyNumberFormat="1" applyFont="1" applyFill="1"/>
    <xf numFmtId="9" fontId="3" fillId="0" borderId="0" xfId="0" applyNumberFormat="1" applyFont="1"/>
    <xf numFmtId="2" fontId="9" fillId="0" borderId="0" xfId="0" applyNumberFormat="1" applyFont="1"/>
    <xf numFmtId="0" fontId="1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9" fontId="1" fillId="0" borderId="0" xfId="1" applyFont="1"/>
    <xf numFmtId="9" fontId="1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906276715268372E-2"/>
          <c:y val="5.2256592674380979E-2"/>
          <c:w val="0.89158716940225746"/>
          <c:h val="0.86935967812833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Sheet1!$A$2:$A$21</c:f>
              <c:numCache>
                <c:formatCode>General</c:formatCode>
                <c:ptCount val="2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</c:numCache>
            </c:num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1.49</c:v>
                </c:pt>
                <c:pt idx="1">
                  <c:v>0</c:v>
                </c:pt>
                <c:pt idx="2">
                  <c:v>0.71</c:v>
                </c:pt>
                <c:pt idx="3">
                  <c:v>0.6</c:v>
                </c:pt>
                <c:pt idx="4">
                  <c:v>1.62</c:v>
                </c:pt>
                <c:pt idx="5">
                  <c:v>1.25</c:v>
                </c:pt>
                <c:pt idx="6">
                  <c:v>7.0000000000000007E-2</c:v>
                </c:pt>
                <c:pt idx="7" formatCode="0.00">
                  <c:v>1.8</c:v>
                </c:pt>
                <c:pt idx="8">
                  <c:v>0.63</c:v>
                </c:pt>
                <c:pt idx="9">
                  <c:v>1.98</c:v>
                </c:pt>
                <c:pt idx="10">
                  <c:v>0.36</c:v>
                </c:pt>
                <c:pt idx="11" formatCode="0.00">
                  <c:v>0.6</c:v>
                </c:pt>
                <c:pt idx="12">
                  <c:v>0.17</c:v>
                </c:pt>
                <c:pt idx="13" formatCode="0.00">
                  <c:v>0.18</c:v>
                </c:pt>
                <c:pt idx="14" formatCode="0.00">
                  <c:v>3.4</c:v>
                </c:pt>
                <c:pt idx="15">
                  <c:v>1.46</c:v>
                </c:pt>
                <c:pt idx="16">
                  <c:v>0.2</c:v>
                </c:pt>
                <c:pt idx="17">
                  <c:v>0.69</c:v>
                </c:pt>
                <c:pt idx="18">
                  <c:v>0.24</c:v>
                </c:pt>
                <c:pt idx="19">
                  <c:v>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1-4A0F-88AC-AAFEABDD2F9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Sheet1!$A$2:$A$21</c:f>
              <c:numCache>
                <c:formatCode>General</c:formatCode>
                <c:ptCount val="2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</c:numCache>
            </c:num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1.23</c:v>
                </c:pt>
                <c:pt idx="1">
                  <c:v>2.0499999999999998</c:v>
                </c:pt>
                <c:pt idx="2">
                  <c:v>3.27</c:v>
                </c:pt>
                <c:pt idx="3">
                  <c:v>1.65</c:v>
                </c:pt>
                <c:pt idx="4">
                  <c:v>1.65</c:v>
                </c:pt>
                <c:pt idx="5">
                  <c:v>1.93</c:v>
                </c:pt>
                <c:pt idx="6">
                  <c:v>0</c:v>
                </c:pt>
                <c:pt idx="7">
                  <c:v>0.66</c:v>
                </c:pt>
                <c:pt idx="8">
                  <c:v>0.01</c:v>
                </c:pt>
                <c:pt idx="9">
                  <c:v>1.61</c:v>
                </c:pt>
                <c:pt idx="10">
                  <c:v>0.01</c:v>
                </c:pt>
                <c:pt idx="11">
                  <c:v>0.69</c:v>
                </c:pt>
                <c:pt idx="12">
                  <c:v>7.0000000000000007E-2</c:v>
                </c:pt>
                <c:pt idx="13" formatCode="0.00">
                  <c:v>1.7</c:v>
                </c:pt>
                <c:pt idx="14">
                  <c:v>0</c:v>
                </c:pt>
                <c:pt idx="15">
                  <c:v>0.69</c:v>
                </c:pt>
                <c:pt idx="16">
                  <c:v>0.31</c:v>
                </c:pt>
                <c:pt idx="17">
                  <c:v>0.97</c:v>
                </c:pt>
                <c:pt idx="18">
                  <c:v>0.96</c:v>
                </c:pt>
                <c:pt idx="19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1-4A0F-88AC-AAFEABDD2F9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Sheet1!$A$2:$A$21</c:f>
              <c:numCache>
                <c:formatCode>General</c:formatCode>
                <c:ptCount val="2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</c:numCache>
            </c:num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0.71</c:v>
                </c:pt>
                <c:pt idx="1">
                  <c:v>0.84</c:v>
                </c:pt>
                <c:pt idx="2">
                  <c:v>0.75</c:v>
                </c:pt>
                <c:pt idx="3">
                  <c:v>0.16</c:v>
                </c:pt>
                <c:pt idx="4">
                  <c:v>0.27</c:v>
                </c:pt>
                <c:pt idx="5">
                  <c:v>1.85</c:v>
                </c:pt>
                <c:pt idx="6">
                  <c:v>2.38</c:v>
                </c:pt>
                <c:pt idx="7">
                  <c:v>2.39</c:v>
                </c:pt>
                <c:pt idx="8">
                  <c:v>0.4</c:v>
                </c:pt>
                <c:pt idx="9">
                  <c:v>2.0699999999999998</c:v>
                </c:pt>
                <c:pt idx="10">
                  <c:v>1.77</c:v>
                </c:pt>
                <c:pt idx="11">
                  <c:v>0.42</c:v>
                </c:pt>
                <c:pt idx="12">
                  <c:v>0.36</c:v>
                </c:pt>
                <c:pt idx="13" formatCode="0.00">
                  <c:v>0.27</c:v>
                </c:pt>
                <c:pt idx="14">
                  <c:v>0.52</c:v>
                </c:pt>
                <c:pt idx="15">
                  <c:v>0.6</c:v>
                </c:pt>
                <c:pt idx="16">
                  <c:v>0.8</c:v>
                </c:pt>
                <c:pt idx="17">
                  <c:v>0.95</c:v>
                </c:pt>
                <c:pt idx="18">
                  <c:v>0.16</c:v>
                </c:pt>
                <c:pt idx="19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1-4A0F-88AC-AAFEABDD2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359424"/>
        <c:axId val="108102016"/>
      </c:barChart>
      <c:catAx>
        <c:axId val="10635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02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8102016"/>
        <c:scaling>
          <c:orientation val="minMax"/>
          <c:max val="3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 (in)</a:t>
                </a:r>
              </a:p>
            </c:rich>
          </c:tx>
          <c:layout>
            <c:manualLayout>
              <c:xMode val="edge"/>
              <c:yMode val="edge"/>
              <c:x val="2.5889967637540454E-2"/>
              <c:y val="0.425178646018416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59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346397234326292"/>
          <c:y val="9.7387173396674589E-2"/>
          <c:w val="7.6051949816952513E-2"/>
          <c:h val="0.152019251750300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7.2570815011759909E-2"/>
          <c:w val="0.87322375328083979"/>
          <c:h val="0.820029655383986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Annual CY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Sheet2!$A$2:$A$86</c:f>
              <c:numCache>
                <c:formatCode>General</c:formatCode>
                <c:ptCount val="85"/>
                <c:pt idx="0">
                  <c:v>1935</c:v>
                </c:pt>
                <c:pt idx="1">
                  <c:v>1936</c:v>
                </c:pt>
                <c:pt idx="2">
                  <c:v>1937</c:v>
                </c:pt>
                <c:pt idx="3">
                  <c:v>1938</c:v>
                </c:pt>
                <c:pt idx="4">
                  <c:v>1939</c:v>
                </c:pt>
                <c:pt idx="5">
                  <c:v>1940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1970</c:v>
                </c:pt>
                <c:pt idx="36">
                  <c:v>1971</c:v>
                </c:pt>
                <c:pt idx="37">
                  <c:v>1972</c:v>
                </c:pt>
                <c:pt idx="38">
                  <c:v>1973</c:v>
                </c:pt>
                <c:pt idx="39">
                  <c:v>1974</c:v>
                </c:pt>
                <c:pt idx="40">
                  <c:v>1975</c:v>
                </c:pt>
                <c:pt idx="41">
                  <c:v>1976</c:v>
                </c:pt>
                <c:pt idx="42">
                  <c:v>1977</c:v>
                </c:pt>
                <c:pt idx="43">
                  <c:v>1978</c:v>
                </c:pt>
                <c:pt idx="44">
                  <c:v>1979</c:v>
                </c:pt>
                <c:pt idx="45">
                  <c:v>1980</c:v>
                </c:pt>
                <c:pt idx="46">
                  <c:v>1981</c:v>
                </c:pt>
                <c:pt idx="47">
                  <c:v>1982</c:v>
                </c:pt>
                <c:pt idx="48">
                  <c:v>1983</c:v>
                </c:pt>
                <c:pt idx="49">
                  <c:v>1984</c:v>
                </c:pt>
                <c:pt idx="50">
                  <c:v>1985</c:v>
                </c:pt>
                <c:pt idx="51">
                  <c:v>1986</c:v>
                </c:pt>
                <c:pt idx="52">
                  <c:v>1987</c:v>
                </c:pt>
                <c:pt idx="53">
                  <c:v>1988</c:v>
                </c:pt>
                <c:pt idx="54">
                  <c:v>1989</c:v>
                </c:pt>
                <c:pt idx="55">
                  <c:v>1990</c:v>
                </c:pt>
                <c:pt idx="56">
                  <c:v>1991</c:v>
                </c:pt>
                <c:pt idx="57">
                  <c:v>1992</c:v>
                </c:pt>
                <c:pt idx="58">
                  <c:v>1993</c:v>
                </c:pt>
                <c:pt idx="59">
                  <c:v>1994</c:v>
                </c:pt>
                <c:pt idx="60">
                  <c:v>1995</c:v>
                </c:pt>
                <c:pt idx="61">
                  <c:v>1996</c:v>
                </c:pt>
                <c:pt idx="62">
                  <c:v>1997</c:v>
                </c:pt>
                <c:pt idx="63">
                  <c:v>1998</c:v>
                </c:pt>
                <c:pt idx="64">
                  <c:v>1999</c:v>
                </c:pt>
                <c:pt idx="65">
                  <c:v>2000</c:v>
                </c:pt>
                <c:pt idx="66">
                  <c:v>2001</c:v>
                </c:pt>
                <c:pt idx="67">
                  <c:v>2002</c:v>
                </c:pt>
                <c:pt idx="68">
                  <c:v>2003</c:v>
                </c:pt>
                <c:pt idx="69">
                  <c:v>2004</c:v>
                </c:pt>
                <c:pt idx="70">
                  <c:v>2005</c:v>
                </c:pt>
                <c:pt idx="71">
                  <c:v>2006</c:v>
                </c:pt>
                <c:pt idx="72">
                  <c:v>2007</c:v>
                </c:pt>
                <c:pt idx="73">
                  <c:v>2008</c:v>
                </c:pt>
                <c:pt idx="74">
                  <c:v>2009</c:v>
                </c:pt>
                <c:pt idx="75">
                  <c:v>2010</c:v>
                </c:pt>
                <c:pt idx="76">
                  <c:v>2011</c:v>
                </c:pt>
                <c:pt idx="77">
                  <c:v>2012</c:v>
                </c:pt>
                <c:pt idx="78">
                  <c:v>2013</c:v>
                </c:pt>
                <c:pt idx="79">
                  <c:v>2014</c:v>
                </c:pt>
                <c:pt idx="80">
                  <c:v>2015</c:v>
                </c:pt>
                <c:pt idx="81">
                  <c:v>2016</c:v>
                </c:pt>
                <c:pt idx="82">
                  <c:v>2017</c:v>
                </c:pt>
                <c:pt idx="83">
                  <c:v>2018</c:v>
                </c:pt>
                <c:pt idx="84">
                  <c:v>2019</c:v>
                </c:pt>
              </c:numCache>
            </c:numRef>
          </c:xVal>
          <c:yVal>
            <c:numRef>
              <c:f>Sheet2!$B$2:$B$86</c:f>
              <c:numCache>
                <c:formatCode>General</c:formatCode>
                <c:ptCount val="85"/>
                <c:pt idx="0">
                  <c:v>14.829999999999998</c:v>
                </c:pt>
                <c:pt idx="1">
                  <c:v>14.48</c:v>
                </c:pt>
                <c:pt idx="2">
                  <c:v>14.780000000000001</c:v>
                </c:pt>
                <c:pt idx="3">
                  <c:v>12.2</c:v>
                </c:pt>
                <c:pt idx="4">
                  <c:v>18.03</c:v>
                </c:pt>
                <c:pt idx="5">
                  <c:v>20.450000000000003</c:v>
                </c:pt>
                <c:pt idx="6">
                  <c:v>25.96</c:v>
                </c:pt>
                <c:pt idx="7">
                  <c:v>13.925000000000001</c:v>
                </c:pt>
                <c:pt idx="8">
                  <c:v>14.060000000000002</c:v>
                </c:pt>
                <c:pt idx="9">
                  <c:v>18.310000000000002</c:v>
                </c:pt>
                <c:pt idx="10">
                  <c:v>11.585000000000001</c:v>
                </c:pt>
                <c:pt idx="11">
                  <c:v>10.800000000000002</c:v>
                </c:pt>
                <c:pt idx="12">
                  <c:v>13.040000000000001</c:v>
                </c:pt>
                <c:pt idx="13">
                  <c:v>15.164999999999999</c:v>
                </c:pt>
                <c:pt idx="14">
                  <c:v>19.015000000000001</c:v>
                </c:pt>
                <c:pt idx="15">
                  <c:v>8.9799999999999986</c:v>
                </c:pt>
                <c:pt idx="16">
                  <c:v>14.43</c:v>
                </c:pt>
                <c:pt idx="17">
                  <c:v>16.099999999999998</c:v>
                </c:pt>
                <c:pt idx="18">
                  <c:v>13.999999999999998</c:v>
                </c:pt>
                <c:pt idx="19">
                  <c:v>11.785000000000002</c:v>
                </c:pt>
                <c:pt idx="20">
                  <c:v>9.6349999999999998</c:v>
                </c:pt>
                <c:pt idx="21">
                  <c:v>4.9449999999999994</c:v>
                </c:pt>
                <c:pt idx="22">
                  <c:v>21.220000000000002</c:v>
                </c:pt>
                <c:pt idx="23">
                  <c:v>16.59</c:v>
                </c:pt>
                <c:pt idx="24">
                  <c:v>20.47</c:v>
                </c:pt>
                <c:pt idx="25">
                  <c:v>17.265000000000001</c:v>
                </c:pt>
                <c:pt idx="26">
                  <c:v>15.629999999999999</c:v>
                </c:pt>
                <c:pt idx="27">
                  <c:v>12.370000000000001</c:v>
                </c:pt>
                <c:pt idx="28">
                  <c:v>13.95</c:v>
                </c:pt>
                <c:pt idx="29">
                  <c:v>11.52</c:v>
                </c:pt>
                <c:pt idx="30">
                  <c:v>24.46</c:v>
                </c:pt>
                <c:pt idx="31">
                  <c:v>11.414999999999999</c:v>
                </c:pt>
                <c:pt idx="32">
                  <c:v>18.265000000000001</c:v>
                </c:pt>
                <c:pt idx="33">
                  <c:v>16.125000000000004</c:v>
                </c:pt>
                <c:pt idx="34">
                  <c:v>24.14</c:v>
                </c:pt>
                <c:pt idx="35">
                  <c:v>11.355</c:v>
                </c:pt>
                <c:pt idx="36">
                  <c:v>17.98</c:v>
                </c:pt>
                <c:pt idx="37">
                  <c:v>18.045000000000002</c:v>
                </c:pt>
                <c:pt idx="38">
                  <c:v>16.020000000000003</c:v>
                </c:pt>
                <c:pt idx="39">
                  <c:v>15.329999999999998</c:v>
                </c:pt>
                <c:pt idx="40">
                  <c:v>15.33</c:v>
                </c:pt>
                <c:pt idx="41">
                  <c:v>12.799999999999999</c:v>
                </c:pt>
                <c:pt idx="42">
                  <c:v>13.31</c:v>
                </c:pt>
                <c:pt idx="43">
                  <c:v>19.3</c:v>
                </c:pt>
                <c:pt idx="44">
                  <c:v>17.020000000000003</c:v>
                </c:pt>
                <c:pt idx="45">
                  <c:v>13.76</c:v>
                </c:pt>
                <c:pt idx="46">
                  <c:v>15.059999999999999</c:v>
                </c:pt>
                <c:pt idx="47">
                  <c:v>20.679999999999996</c:v>
                </c:pt>
                <c:pt idx="48">
                  <c:v>15.689999999999998</c:v>
                </c:pt>
                <c:pt idx="49">
                  <c:v>16.309999999999999</c:v>
                </c:pt>
                <c:pt idx="50">
                  <c:v>24.5</c:v>
                </c:pt>
                <c:pt idx="51">
                  <c:v>24.860000000000003</c:v>
                </c:pt>
                <c:pt idx="52">
                  <c:v>16.71</c:v>
                </c:pt>
                <c:pt idx="53">
                  <c:v>21.91</c:v>
                </c:pt>
                <c:pt idx="54">
                  <c:v>15.53</c:v>
                </c:pt>
                <c:pt idx="55">
                  <c:v>16.86</c:v>
                </c:pt>
                <c:pt idx="56">
                  <c:v>20.53</c:v>
                </c:pt>
                <c:pt idx="57">
                  <c:v>13.9</c:v>
                </c:pt>
                <c:pt idx="58">
                  <c:v>20.62</c:v>
                </c:pt>
                <c:pt idx="59">
                  <c:v>16.549999999999997</c:v>
                </c:pt>
                <c:pt idx="60">
                  <c:v>13.900000000000002</c:v>
                </c:pt>
                <c:pt idx="61">
                  <c:v>15.200000000000001</c:v>
                </c:pt>
                <c:pt idx="62">
                  <c:v>20.350000000000001</c:v>
                </c:pt>
                <c:pt idx="63">
                  <c:v>12.430000000000001</c:v>
                </c:pt>
                <c:pt idx="64">
                  <c:v>15.56</c:v>
                </c:pt>
                <c:pt idx="65">
                  <c:v>13.875</c:v>
                </c:pt>
                <c:pt idx="66">
                  <c:v>9.94</c:v>
                </c:pt>
                <c:pt idx="67">
                  <c:v>8.0500000000000007</c:v>
                </c:pt>
                <c:pt idx="68">
                  <c:v>8.7650000000000006</c:v>
                </c:pt>
                <c:pt idx="69">
                  <c:v>16.559999999999999</c:v>
                </c:pt>
                <c:pt idx="70">
                  <c:v>17.650000000000002</c:v>
                </c:pt>
                <c:pt idx="71">
                  <c:v>14.500000000000002</c:v>
                </c:pt>
                <c:pt idx="72">
                  <c:v>13.99</c:v>
                </c:pt>
                <c:pt idx="73">
                  <c:v>15.399999999999999</c:v>
                </c:pt>
                <c:pt idx="74">
                  <c:v>13.950000000000001</c:v>
                </c:pt>
                <c:pt idx="75">
                  <c:v>14.220000000000002</c:v>
                </c:pt>
                <c:pt idx="76">
                  <c:v>9.23</c:v>
                </c:pt>
                <c:pt idx="77">
                  <c:v>6.4050000000000011</c:v>
                </c:pt>
                <c:pt idx="78">
                  <c:v>14.940000000000001</c:v>
                </c:pt>
                <c:pt idx="79">
                  <c:v>11.62</c:v>
                </c:pt>
                <c:pt idx="80">
                  <c:v>17.29</c:v>
                </c:pt>
                <c:pt idx="81">
                  <c:v>11.22</c:v>
                </c:pt>
                <c:pt idx="82">
                  <c:v>12.38</c:v>
                </c:pt>
                <c:pt idx="83">
                  <c:v>11.5</c:v>
                </c:pt>
                <c:pt idx="84">
                  <c:v>13.000000000000002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A-4942-A687-B31E2480DE5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Mean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Sheet2!$A$2:$A$86</c:f>
              <c:numCache>
                <c:formatCode>General</c:formatCode>
                <c:ptCount val="85"/>
                <c:pt idx="0">
                  <c:v>1935</c:v>
                </c:pt>
                <c:pt idx="1">
                  <c:v>1936</c:v>
                </c:pt>
                <c:pt idx="2">
                  <c:v>1937</c:v>
                </c:pt>
                <c:pt idx="3">
                  <c:v>1938</c:v>
                </c:pt>
                <c:pt idx="4">
                  <c:v>1939</c:v>
                </c:pt>
                <c:pt idx="5">
                  <c:v>1940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1970</c:v>
                </c:pt>
                <c:pt idx="36">
                  <c:v>1971</c:v>
                </c:pt>
                <c:pt idx="37">
                  <c:v>1972</c:v>
                </c:pt>
                <c:pt idx="38">
                  <c:v>1973</c:v>
                </c:pt>
                <c:pt idx="39">
                  <c:v>1974</c:v>
                </c:pt>
                <c:pt idx="40">
                  <c:v>1975</c:v>
                </c:pt>
                <c:pt idx="41">
                  <c:v>1976</c:v>
                </c:pt>
                <c:pt idx="42">
                  <c:v>1977</c:v>
                </c:pt>
                <c:pt idx="43">
                  <c:v>1978</c:v>
                </c:pt>
                <c:pt idx="44">
                  <c:v>1979</c:v>
                </c:pt>
                <c:pt idx="45">
                  <c:v>1980</c:v>
                </c:pt>
                <c:pt idx="46">
                  <c:v>1981</c:v>
                </c:pt>
                <c:pt idx="47">
                  <c:v>1982</c:v>
                </c:pt>
                <c:pt idx="48">
                  <c:v>1983</c:v>
                </c:pt>
                <c:pt idx="49">
                  <c:v>1984</c:v>
                </c:pt>
                <c:pt idx="50">
                  <c:v>1985</c:v>
                </c:pt>
                <c:pt idx="51">
                  <c:v>1986</c:v>
                </c:pt>
                <c:pt idx="52">
                  <c:v>1987</c:v>
                </c:pt>
                <c:pt idx="53">
                  <c:v>1988</c:v>
                </c:pt>
                <c:pt idx="54">
                  <c:v>1989</c:v>
                </c:pt>
                <c:pt idx="55">
                  <c:v>1990</c:v>
                </c:pt>
                <c:pt idx="56">
                  <c:v>1991</c:v>
                </c:pt>
                <c:pt idx="57">
                  <c:v>1992</c:v>
                </c:pt>
                <c:pt idx="58">
                  <c:v>1993</c:v>
                </c:pt>
                <c:pt idx="59">
                  <c:v>1994</c:v>
                </c:pt>
                <c:pt idx="60">
                  <c:v>1995</c:v>
                </c:pt>
                <c:pt idx="61">
                  <c:v>1996</c:v>
                </c:pt>
                <c:pt idx="62">
                  <c:v>1997</c:v>
                </c:pt>
                <c:pt idx="63">
                  <c:v>1998</c:v>
                </c:pt>
                <c:pt idx="64">
                  <c:v>1999</c:v>
                </c:pt>
                <c:pt idx="65">
                  <c:v>2000</c:v>
                </c:pt>
                <c:pt idx="66">
                  <c:v>2001</c:v>
                </c:pt>
                <c:pt idx="67">
                  <c:v>2002</c:v>
                </c:pt>
                <c:pt idx="68">
                  <c:v>2003</c:v>
                </c:pt>
                <c:pt idx="69">
                  <c:v>2004</c:v>
                </c:pt>
                <c:pt idx="70">
                  <c:v>2005</c:v>
                </c:pt>
                <c:pt idx="71">
                  <c:v>2006</c:v>
                </c:pt>
                <c:pt idx="72">
                  <c:v>2007</c:v>
                </c:pt>
                <c:pt idx="73">
                  <c:v>2008</c:v>
                </c:pt>
                <c:pt idx="74">
                  <c:v>2009</c:v>
                </c:pt>
                <c:pt idx="75">
                  <c:v>2010</c:v>
                </c:pt>
                <c:pt idx="76">
                  <c:v>2011</c:v>
                </c:pt>
                <c:pt idx="77">
                  <c:v>2012</c:v>
                </c:pt>
                <c:pt idx="78">
                  <c:v>2013</c:v>
                </c:pt>
                <c:pt idx="79">
                  <c:v>2014</c:v>
                </c:pt>
                <c:pt idx="80">
                  <c:v>2015</c:v>
                </c:pt>
                <c:pt idx="81">
                  <c:v>2016</c:v>
                </c:pt>
                <c:pt idx="82">
                  <c:v>2017</c:v>
                </c:pt>
                <c:pt idx="83">
                  <c:v>2018</c:v>
                </c:pt>
                <c:pt idx="84">
                  <c:v>2019</c:v>
                </c:pt>
              </c:numCache>
            </c:numRef>
          </c:xVal>
          <c:yVal>
            <c:numRef>
              <c:f>Sheet2!$C$2:$C$86</c:f>
              <c:numCache>
                <c:formatCode>General</c:formatCode>
                <c:ptCount val="85"/>
                <c:pt idx="0">
                  <c:v>15.32</c:v>
                </c:pt>
                <c:pt idx="1">
                  <c:v>15.32</c:v>
                </c:pt>
                <c:pt idx="2">
                  <c:v>15.32</c:v>
                </c:pt>
                <c:pt idx="3">
                  <c:v>15.32</c:v>
                </c:pt>
                <c:pt idx="4">
                  <c:v>15.32</c:v>
                </c:pt>
                <c:pt idx="5">
                  <c:v>15.32</c:v>
                </c:pt>
                <c:pt idx="6">
                  <c:v>15.32</c:v>
                </c:pt>
                <c:pt idx="7">
                  <c:v>15.32</c:v>
                </c:pt>
                <c:pt idx="8">
                  <c:v>15.32</c:v>
                </c:pt>
                <c:pt idx="9">
                  <c:v>15.32</c:v>
                </c:pt>
                <c:pt idx="10">
                  <c:v>15.32</c:v>
                </c:pt>
                <c:pt idx="11">
                  <c:v>15.32</c:v>
                </c:pt>
                <c:pt idx="12">
                  <c:v>15.32</c:v>
                </c:pt>
                <c:pt idx="13">
                  <c:v>15.32</c:v>
                </c:pt>
                <c:pt idx="14">
                  <c:v>15.32</c:v>
                </c:pt>
                <c:pt idx="15">
                  <c:v>15.32</c:v>
                </c:pt>
                <c:pt idx="16">
                  <c:v>15.32</c:v>
                </c:pt>
                <c:pt idx="17">
                  <c:v>15.32</c:v>
                </c:pt>
                <c:pt idx="18">
                  <c:v>15.32</c:v>
                </c:pt>
                <c:pt idx="19">
                  <c:v>15.32</c:v>
                </c:pt>
                <c:pt idx="20">
                  <c:v>15.32</c:v>
                </c:pt>
                <c:pt idx="21">
                  <c:v>15.32</c:v>
                </c:pt>
                <c:pt idx="22">
                  <c:v>15.32</c:v>
                </c:pt>
                <c:pt idx="23">
                  <c:v>15.32</c:v>
                </c:pt>
                <c:pt idx="24">
                  <c:v>15.32</c:v>
                </c:pt>
                <c:pt idx="25">
                  <c:v>15.32</c:v>
                </c:pt>
                <c:pt idx="26">
                  <c:v>15.32</c:v>
                </c:pt>
                <c:pt idx="27">
                  <c:v>15.32</c:v>
                </c:pt>
                <c:pt idx="28">
                  <c:v>15.32</c:v>
                </c:pt>
                <c:pt idx="29">
                  <c:v>15.32</c:v>
                </c:pt>
                <c:pt idx="30">
                  <c:v>15.32</c:v>
                </c:pt>
                <c:pt idx="31">
                  <c:v>15.32</c:v>
                </c:pt>
                <c:pt idx="32">
                  <c:v>15.32</c:v>
                </c:pt>
                <c:pt idx="33">
                  <c:v>15.32</c:v>
                </c:pt>
                <c:pt idx="34">
                  <c:v>15.32</c:v>
                </c:pt>
                <c:pt idx="35">
                  <c:v>15.32</c:v>
                </c:pt>
                <c:pt idx="36">
                  <c:v>15.32</c:v>
                </c:pt>
                <c:pt idx="37">
                  <c:v>15.32</c:v>
                </c:pt>
                <c:pt idx="38">
                  <c:v>15.32</c:v>
                </c:pt>
                <c:pt idx="39">
                  <c:v>15.32</c:v>
                </c:pt>
                <c:pt idx="40">
                  <c:v>15.32</c:v>
                </c:pt>
                <c:pt idx="41">
                  <c:v>15.32</c:v>
                </c:pt>
                <c:pt idx="42">
                  <c:v>15.32</c:v>
                </c:pt>
                <c:pt idx="43">
                  <c:v>15.32</c:v>
                </c:pt>
                <c:pt idx="44">
                  <c:v>15.32</c:v>
                </c:pt>
                <c:pt idx="45">
                  <c:v>15.32</c:v>
                </c:pt>
                <c:pt idx="46">
                  <c:v>15.32</c:v>
                </c:pt>
                <c:pt idx="47">
                  <c:v>15.32</c:v>
                </c:pt>
                <c:pt idx="48">
                  <c:v>15.32</c:v>
                </c:pt>
                <c:pt idx="49">
                  <c:v>15.32</c:v>
                </c:pt>
                <c:pt idx="50">
                  <c:v>15.32</c:v>
                </c:pt>
                <c:pt idx="51">
                  <c:v>15.32</c:v>
                </c:pt>
                <c:pt idx="52">
                  <c:v>15.32</c:v>
                </c:pt>
                <c:pt idx="53">
                  <c:v>15.32</c:v>
                </c:pt>
                <c:pt idx="54">
                  <c:v>15.32</c:v>
                </c:pt>
                <c:pt idx="55">
                  <c:v>15.32</c:v>
                </c:pt>
                <c:pt idx="56">
                  <c:v>15.32</c:v>
                </c:pt>
                <c:pt idx="57">
                  <c:v>15.32</c:v>
                </c:pt>
                <c:pt idx="58">
                  <c:v>15.32</c:v>
                </c:pt>
                <c:pt idx="59">
                  <c:v>15.32</c:v>
                </c:pt>
                <c:pt idx="60">
                  <c:v>15.32</c:v>
                </c:pt>
                <c:pt idx="61">
                  <c:v>15.32</c:v>
                </c:pt>
                <c:pt idx="62">
                  <c:v>15.32</c:v>
                </c:pt>
                <c:pt idx="63">
                  <c:v>15.32</c:v>
                </c:pt>
                <c:pt idx="64">
                  <c:v>15.32</c:v>
                </c:pt>
                <c:pt idx="65">
                  <c:v>15.32</c:v>
                </c:pt>
                <c:pt idx="66">
                  <c:v>15.32</c:v>
                </c:pt>
                <c:pt idx="67">
                  <c:v>15.32</c:v>
                </c:pt>
                <c:pt idx="68">
                  <c:v>15.32</c:v>
                </c:pt>
                <c:pt idx="69">
                  <c:v>15.32</c:v>
                </c:pt>
                <c:pt idx="70">
                  <c:v>15.32</c:v>
                </c:pt>
                <c:pt idx="71">
                  <c:v>15.32</c:v>
                </c:pt>
                <c:pt idx="72">
                  <c:v>15.32</c:v>
                </c:pt>
                <c:pt idx="73">
                  <c:v>15.32</c:v>
                </c:pt>
                <c:pt idx="74">
                  <c:v>15.32</c:v>
                </c:pt>
                <c:pt idx="75">
                  <c:v>15.32</c:v>
                </c:pt>
                <c:pt idx="76">
                  <c:v>15.32</c:v>
                </c:pt>
                <c:pt idx="77">
                  <c:v>15.32</c:v>
                </c:pt>
                <c:pt idx="78">
                  <c:v>15.32</c:v>
                </c:pt>
                <c:pt idx="79">
                  <c:v>15.32</c:v>
                </c:pt>
                <c:pt idx="80">
                  <c:v>15.32</c:v>
                </c:pt>
                <c:pt idx="81">
                  <c:v>15.32</c:v>
                </c:pt>
                <c:pt idx="82">
                  <c:v>15.32</c:v>
                </c:pt>
                <c:pt idx="83">
                  <c:v>15.32</c:v>
                </c:pt>
                <c:pt idx="84">
                  <c:v>15.32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8A-4942-A687-B31E2480DE5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Median</c:v>
                </c:pt>
              </c:strCache>
            </c:strRef>
          </c:tx>
          <c:spPr>
            <a:ln w="952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Sheet2!$A$2:$A$86</c:f>
              <c:numCache>
                <c:formatCode>General</c:formatCode>
                <c:ptCount val="85"/>
                <c:pt idx="0">
                  <c:v>1935</c:v>
                </c:pt>
                <c:pt idx="1">
                  <c:v>1936</c:v>
                </c:pt>
                <c:pt idx="2">
                  <c:v>1937</c:v>
                </c:pt>
                <c:pt idx="3">
                  <c:v>1938</c:v>
                </c:pt>
                <c:pt idx="4">
                  <c:v>1939</c:v>
                </c:pt>
                <c:pt idx="5">
                  <c:v>1940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1970</c:v>
                </c:pt>
                <c:pt idx="36">
                  <c:v>1971</c:v>
                </c:pt>
                <c:pt idx="37">
                  <c:v>1972</c:v>
                </c:pt>
                <c:pt idx="38">
                  <c:v>1973</c:v>
                </c:pt>
                <c:pt idx="39">
                  <c:v>1974</c:v>
                </c:pt>
                <c:pt idx="40">
                  <c:v>1975</c:v>
                </c:pt>
                <c:pt idx="41">
                  <c:v>1976</c:v>
                </c:pt>
                <c:pt idx="42">
                  <c:v>1977</c:v>
                </c:pt>
                <c:pt idx="43">
                  <c:v>1978</c:v>
                </c:pt>
                <c:pt idx="44">
                  <c:v>1979</c:v>
                </c:pt>
                <c:pt idx="45">
                  <c:v>1980</c:v>
                </c:pt>
                <c:pt idx="46">
                  <c:v>1981</c:v>
                </c:pt>
                <c:pt idx="47">
                  <c:v>1982</c:v>
                </c:pt>
                <c:pt idx="48">
                  <c:v>1983</c:v>
                </c:pt>
                <c:pt idx="49">
                  <c:v>1984</c:v>
                </c:pt>
                <c:pt idx="50">
                  <c:v>1985</c:v>
                </c:pt>
                <c:pt idx="51">
                  <c:v>1986</c:v>
                </c:pt>
                <c:pt idx="52">
                  <c:v>1987</c:v>
                </c:pt>
                <c:pt idx="53">
                  <c:v>1988</c:v>
                </c:pt>
                <c:pt idx="54">
                  <c:v>1989</c:v>
                </c:pt>
                <c:pt idx="55">
                  <c:v>1990</c:v>
                </c:pt>
                <c:pt idx="56">
                  <c:v>1991</c:v>
                </c:pt>
                <c:pt idx="57">
                  <c:v>1992</c:v>
                </c:pt>
                <c:pt idx="58">
                  <c:v>1993</c:v>
                </c:pt>
                <c:pt idx="59">
                  <c:v>1994</c:v>
                </c:pt>
                <c:pt idx="60">
                  <c:v>1995</c:v>
                </c:pt>
                <c:pt idx="61">
                  <c:v>1996</c:v>
                </c:pt>
                <c:pt idx="62">
                  <c:v>1997</c:v>
                </c:pt>
                <c:pt idx="63">
                  <c:v>1998</c:v>
                </c:pt>
                <c:pt idx="64">
                  <c:v>1999</c:v>
                </c:pt>
                <c:pt idx="65">
                  <c:v>2000</c:v>
                </c:pt>
                <c:pt idx="66">
                  <c:v>2001</c:v>
                </c:pt>
                <c:pt idx="67">
                  <c:v>2002</c:v>
                </c:pt>
                <c:pt idx="68">
                  <c:v>2003</c:v>
                </c:pt>
                <c:pt idx="69">
                  <c:v>2004</c:v>
                </c:pt>
                <c:pt idx="70">
                  <c:v>2005</c:v>
                </c:pt>
                <c:pt idx="71">
                  <c:v>2006</c:v>
                </c:pt>
                <c:pt idx="72">
                  <c:v>2007</c:v>
                </c:pt>
                <c:pt idx="73">
                  <c:v>2008</c:v>
                </c:pt>
                <c:pt idx="74">
                  <c:v>2009</c:v>
                </c:pt>
                <c:pt idx="75">
                  <c:v>2010</c:v>
                </c:pt>
                <c:pt idx="76">
                  <c:v>2011</c:v>
                </c:pt>
                <c:pt idx="77">
                  <c:v>2012</c:v>
                </c:pt>
                <c:pt idx="78">
                  <c:v>2013</c:v>
                </c:pt>
                <c:pt idx="79">
                  <c:v>2014</c:v>
                </c:pt>
                <c:pt idx="80">
                  <c:v>2015</c:v>
                </c:pt>
                <c:pt idx="81">
                  <c:v>2016</c:v>
                </c:pt>
                <c:pt idx="82">
                  <c:v>2017</c:v>
                </c:pt>
                <c:pt idx="83">
                  <c:v>2018</c:v>
                </c:pt>
                <c:pt idx="84">
                  <c:v>2019</c:v>
                </c:pt>
              </c:numCache>
            </c:numRef>
          </c:xVal>
          <c:yVal>
            <c:numRef>
              <c:f>Sheet2!$D$2:$D$86</c:f>
              <c:numCache>
                <c:formatCode>General</c:formatCode>
                <c:ptCount val="85"/>
                <c:pt idx="0">
                  <c:v>15.06</c:v>
                </c:pt>
                <c:pt idx="1">
                  <c:v>15.06</c:v>
                </c:pt>
                <c:pt idx="2">
                  <c:v>15.06</c:v>
                </c:pt>
                <c:pt idx="3">
                  <c:v>15.06</c:v>
                </c:pt>
                <c:pt idx="4">
                  <c:v>15.06</c:v>
                </c:pt>
                <c:pt idx="5">
                  <c:v>15.06</c:v>
                </c:pt>
                <c:pt idx="6">
                  <c:v>15.06</c:v>
                </c:pt>
                <c:pt idx="7">
                  <c:v>15.06</c:v>
                </c:pt>
                <c:pt idx="8">
                  <c:v>15.06</c:v>
                </c:pt>
                <c:pt idx="9">
                  <c:v>15.06</c:v>
                </c:pt>
                <c:pt idx="10">
                  <c:v>15.06</c:v>
                </c:pt>
                <c:pt idx="11">
                  <c:v>15.06</c:v>
                </c:pt>
                <c:pt idx="12">
                  <c:v>15.06</c:v>
                </c:pt>
                <c:pt idx="13">
                  <c:v>15.06</c:v>
                </c:pt>
                <c:pt idx="14">
                  <c:v>15.06</c:v>
                </c:pt>
                <c:pt idx="15">
                  <c:v>15.06</c:v>
                </c:pt>
                <c:pt idx="16">
                  <c:v>15.06</c:v>
                </c:pt>
                <c:pt idx="17">
                  <c:v>15.06</c:v>
                </c:pt>
                <c:pt idx="18">
                  <c:v>15.06</c:v>
                </c:pt>
                <c:pt idx="19">
                  <c:v>15.06</c:v>
                </c:pt>
                <c:pt idx="20">
                  <c:v>15.06</c:v>
                </c:pt>
                <c:pt idx="21">
                  <c:v>15.06</c:v>
                </c:pt>
                <c:pt idx="22">
                  <c:v>15.06</c:v>
                </c:pt>
                <c:pt idx="23">
                  <c:v>15.06</c:v>
                </c:pt>
                <c:pt idx="24">
                  <c:v>15.06</c:v>
                </c:pt>
                <c:pt idx="25">
                  <c:v>15.06</c:v>
                </c:pt>
                <c:pt idx="26">
                  <c:v>15.06</c:v>
                </c:pt>
                <c:pt idx="27">
                  <c:v>15.06</c:v>
                </c:pt>
                <c:pt idx="28">
                  <c:v>15.06</c:v>
                </c:pt>
                <c:pt idx="29">
                  <c:v>15.06</c:v>
                </c:pt>
                <c:pt idx="30">
                  <c:v>15.06</c:v>
                </c:pt>
                <c:pt idx="31">
                  <c:v>15.06</c:v>
                </c:pt>
                <c:pt idx="32">
                  <c:v>15.06</c:v>
                </c:pt>
                <c:pt idx="33">
                  <c:v>15.06</c:v>
                </c:pt>
                <c:pt idx="34">
                  <c:v>15.06</c:v>
                </c:pt>
                <c:pt idx="35">
                  <c:v>15.06</c:v>
                </c:pt>
                <c:pt idx="36">
                  <c:v>15.06</c:v>
                </c:pt>
                <c:pt idx="37">
                  <c:v>15.06</c:v>
                </c:pt>
                <c:pt idx="38">
                  <c:v>15.06</c:v>
                </c:pt>
                <c:pt idx="39">
                  <c:v>15.06</c:v>
                </c:pt>
                <c:pt idx="40">
                  <c:v>15.06</c:v>
                </c:pt>
                <c:pt idx="41">
                  <c:v>15.06</c:v>
                </c:pt>
                <c:pt idx="42">
                  <c:v>15.06</c:v>
                </c:pt>
                <c:pt idx="43">
                  <c:v>15.06</c:v>
                </c:pt>
                <c:pt idx="44">
                  <c:v>15.06</c:v>
                </c:pt>
                <c:pt idx="45">
                  <c:v>15.06</c:v>
                </c:pt>
                <c:pt idx="46">
                  <c:v>15.06</c:v>
                </c:pt>
                <c:pt idx="47">
                  <c:v>15.06</c:v>
                </c:pt>
                <c:pt idx="48">
                  <c:v>15.06</c:v>
                </c:pt>
                <c:pt idx="49">
                  <c:v>15.06</c:v>
                </c:pt>
                <c:pt idx="50">
                  <c:v>15.06</c:v>
                </c:pt>
                <c:pt idx="51">
                  <c:v>15.06</c:v>
                </c:pt>
                <c:pt idx="52">
                  <c:v>15.06</c:v>
                </c:pt>
                <c:pt idx="53">
                  <c:v>15.06</c:v>
                </c:pt>
                <c:pt idx="54">
                  <c:v>15.06</c:v>
                </c:pt>
                <c:pt idx="55">
                  <c:v>15.06</c:v>
                </c:pt>
                <c:pt idx="56">
                  <c:v>15.06</c:v>
                </c:pt>
                <c:pt idx="57">
                  <c:v>15.06</c:v>
                </c:pt>
                <c:pt idx="58">
                  <c:v>15.06</c:v>
                </c:pt>
                <c:pt idx="59">
                  <c:v>15.06</c:v>
                </c:pt>
                <c:pt idx="60">
                  <c:v>15.06</c:v>
                </c:pt>
                <c:pt idx="61">
                  <c:v>15.06</c:v>
                </c:pt>
                <c:pt idx="62">
                  <c:v>15.06</c:v>
                </c:pt>
                <c:pt idx="63">
                  <c:v>15.06</c:v>
                </c:pt>
                <c:pt idx="64">
                  <c:v>15.06</c:v>
                </c:pt>
                <c:pt idx="65">
                  <c:v>15.06</c:v>
                </c:pt>
                <c:pt idx="66">
                  <c:v>15.06</c:v>
                </c:pt>
                <c:pt idx="67">
                  <c:v>15.06</c:v>
                </c:pt>
                <c:pt idx="68">
                  <c:v>15.06</c:v>
                </c:pt>
                <c:pt idx="69">
                  <c:v>15.06</c:v>
                </c:pt>
                <c:pt idx="70">
                  <c:v>15.06</c:v>
                </c:pt>
                <c:pt idx="71">
                  <c:v>15.06</c:v>
                </c:pt>
                <c:pt idx="72">
                  <c:v>15.06</c:v>
                </c:pt>
                <c:pt idx="73">
                  <c:v>15.06</c:v>
                </c:pt>
                <c:pt idx="74">
                  <c:v>15.06</c:v>
                </c:pt>
                <c:pt idx="75">
                  <c:v>15.06</c:v>
                </c:pt>
                <c:pt idx="76">
                  <c:v>15.06</c:v>
                </c:pt>
                <c:pt idx="77">
                  <c:v>15.06</c:v>
                </c:pt>
                <c:pt idx="78">
                  <c:v>15.06</c:v>
                </c:pt>
                <c:pt idx="79">
                  <c:v>15.06</c:v>
                </c:pt>
                <c:pt idx="80">
                  <c:v>15.06</c:v>
                </c:pt>
                <c:pt idx="81">
                  <c:v>15.06</c:v>
                </c:pt>
                <c:pt idx="82">
                  <c:v>15.06</c:v>
                </c:pt>
                <c:pt idx="83">
                  <c:v>15.06</c:v>
                </c:pt>
                <c:pt idx="84">
                  <c:v>15.06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8A-4942-A687-B31E2480D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89839"/>
        <c:axId val="1827856783"/>
      </c:scatterChart>
      <c:valAx>
        <c:axId val="1946589839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56783"/>
        <c:crosses val="autoZero"/>
        <c:crossBetween val="midCat"/>
      </c:valAx>
      <c:valAx>
        <c:axId val="1827856783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89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347134733158353"/>
          <c:y val="0.65644067218870361"/>
          <c:w val="0.24319531933508312"/>
          <c:h val="0.2191573780550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July-August</a:t>
            </a:r>
            <a:r>
              <a:rPr lang="en-US" baseline="0"/>
              <a:t> total precip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Sheet4!$B$1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Sheet4!$A$1:$B$1</c:f>
              <c:strCache>
                <c:ptCount val="2"/>
                <c:pt idx="0">
                  <c:v>water year</c:v>
                </c:pt>
                <c:pt idx="1">
                  <c:v>sum</c:v>
                </c:pt>
              </c:strCache>
            </c:strRef>
          </c:cat>
          <c:val>
            <c:numRef>
              <c:f>Sheet4!$B$2:$B$93</c:f>
              <c:numCache>
                <c:formatCode>General</c:formatCode>
                <c:ptCount val="92"/>
                <c:pt idx="0">
                  <c:v>5.99</c:v>
                </c:pt>
                <c:pt idx="1">
                  <c:v>5.62</c:v>
                </c:pt>
                <c:pt idx="2">
                  <c:v>5</c:v>
                </c:pt>
                <c:pt idx="3">
                  <c:v>4.7699999999999996</c:v>
                </c:pt>
                <c:pt idx="4">
                  <c:v>5.3100000000000005</c:v>
                </c:pt>
                <c:pt idx="5">
                  <c:v>4.17</c:v>
                </c:pt>
                <c:pt idx="6">
                  <c:v>6.68</c:v>
                </c:pt>
                <c:pt idx="7">
                  <c:v>4.55</c:v>
                </c:pt>
                <c:pt idx="8">
                  <c:v>1.9100000000000001</c:v>
                </c:pt>
                <c:pt idx="9">
                  <c:v>2.12</c:v>
                </c:pt>
                <c:pt idx="10">
                  <c:v>6.5699999999999994</c:v>
                </c:pt>
                <c:pt idx="11">
                  <c:v>5.19</c:v>
                </c:pt>
                <c:pt idx="12">
                  <c:v>4.9800000000000004</c:v>
                </c:pt>
                <c:pt idx="13">
                  <c:v>2.4699999999999998</c:v>
                </c:pt>
                <c:pt idx="14">
                  <c:v>3.6500000000000004</c:v>
                </c:pt>
                <c:pt idx="15">
                  <c:v>5.84</c:v>
                </c:pt>
                <c:pt idx="16">
                  <c:v>3.7399999999999998</c:v>
                </c:pt>
                <c:pt idx="17">
                  <c:v>5.74</c:v>
                </c:pt>
                <c:pt idx="18">
                  <c:v>5.53</c:v>
                </c:pt>
                <c:pt idx="19">
                  <c:v>4.17</c:v>
                </c:pt>
                <c:pt idx="20">
                  <c:v>6.35</c:v>
                </c:pt>
                <c:pt idx="21">
                  <c:v>5.17</c:v>
                </c:pt>
                <c:pt idx="22">
                  <c:v>8.17</c:v>
                </c:pt>
                <c:pt idx="23">
                  <c:v>6.9399999999999995</c:v>
                </c:pt>
                <c:pt idx="24">
                  <c:v>4.4400000000000004</c:v>
                </c:pt>
                <c:pt idx="25">
                  <c:v>5.73</c:v>
                </c:pt>
                <c:pt idx="26">
                  <c:v>4.72</c:v>
                </c:pt>
                <c:pt idx="27">
                  <c:v>1.73</c:v>
                </c:pt>
                <c:pt idx="28">
                  <c:v>7.65</c:v>
                </c:pt>
                <c:pt idx="29">
                  <c:v>2.88</c:v>
                </c:pt>
                <c:pt idx="30">
                  <c:v>8.73</c:v>
                </c:pt>
                <c:pt idx="31">
                  <c:v>4.22</c:v>
                </c:pt>
                <c:pt idx="32">
                  <c:v>6.37</c:v>
                </c:pt>
                <c:pt idx="33">
                  <c:v>3.89</c:v>
                </c:pt>
                <c:pt idx="34">
                  <c:v>4.28</c:v>
                </c:pt>
                <c:pt idx="35">
                  <c:v>4.62</c:v>
                </c:pt>
                <c:pt idx="36">
                  <c:v>5.25</c:v>
                </c:pt>
                <c:pt idx="37">
                  <c:v>5.59</c:v>
                </c:pt>
                <c:pt idx="38">
                  <c:v>9.73</c:v>
                </c:pt>
                <c:pt idx="39">
                  <c:v>8.15</c:v>
                </c:pt>
                <c:pt idx="40">
                  <c:v>6.51</c:v>
                </c:pt>
                <c:pt idx="41">
                  <c:v>5.6</c:v>
                </c:pt>
                <c:pt idx="42">
                  <c:v>5.6899999999999995</c:v>
                </c:pt>
                <c:pt idx="43">
                  <c:v>5.3900000000000006</c:v>
                </c:pt>
                <c:pt idx="44">
                  <c:v>6.35</c:v>
                </c:pt>
                <c:pt idx="45">
                  <c:v>4.51</c:v>
                </c:pt>
                <c:pt idx="46">
                  <c:v>4.71</c:v>
                </c:pt>
                <c:pt idx="47">
                  <c:v>6.38</c:v>
                </c:pt>
                <c:pt idx="48">
                  <c:v>8.3099999999999987</c:v>
                </c:pt>
                <c:pt idx="49">
                  <c:v>2.27</c:v>
                </c:pt>
                <c:pt idx="50">
                  <c:v>3.09</c:v>
                </c:pt>
                <c:pt idx="51">
                  <c:v>2.79</c:v>
                </c:pt>
                <c:pt idx="52">
                  <c:v>3.45</c:v>
                </c:pt>
                <c:pt idx="53">
                  <c:v>6.91</c:v>
                </c:pt>
                <c:pt idx="54">
                  <c:v>5.83</c:v>
                </c:pt>
                <c:pt idx="55">
                  <c:v>5.19</c:v>
                </c:pt>
                <c:pt idx="56">
                  <c:v>4.51</c:v>
                </c:pt>
                <c:pt idx="57">
                  <c:v>5.41</c:v>
                </c:pt>
                <c:pt idx="58">
                  <c:v>4.7699999999999996</c:v>
                </c:pt>
                <c:pt idx="59">
                  <c:v>7.4</c:v>
                </c:pt>
                <c:pt idx="60">
                  <c:v>5.78</c:v>
                </c:pt>
                <c:pt idx="61">
                  <c:v>5.09</c:v>
                </c:pt>
                <c:pt idx="62">
                  <c:v>8.5300000000000011</c:v>
                </c:pt>
                <c:pt idx="63">
                  <c:v>3.07</c:v>
                </c:pt>
                <c:pt idx="64">
                  <c:v>6.4399999999999995</c:v>
                </c:pt>
                <c:pt idx="65">
                  <c:v>3.4299999999999997</c:v>
                </c:pt>
                <c:pt idx="66">
                  <c:v>3.7199999999999998</c:v>
                </c:pt>
                <c:pt idx="67">
                  <c:v>5.54</c:v>
                </c:pt>
                <c:pt idx="68">
                  <c:v>6.15</c:v>
                </c:pt>
                <c:pt idx="69">
                  <c:v>4.6400000000000006</c:v>
                </c:pt>
                <c:pt idx="70">
                  <c:v>5.09</c:v>
                </c:pt>
                <c:pt idx="71">
                  <c:v>4.62</c:v>
                </c:pt>
                <c:pt idx="72">
                  <c:v>4.29</c:v>
                </c:pt>
                <c:pt idx="73">
                  <c:v>1.65</c:v>
                </c:pt>
                <c:pt idx="74">
                  <c:v>2.46</c:v>
                </c:pt>
                <c:pt idx="75">
                  <c:v>3.8899999999999997</c:v>
                </c:pt>
                <c:pt idx="76">
                  <c:v>4.25</c:v>
                </c:pt>
                <c:pt idx="77">
                  <c:v>8.120000000000001</c:v>
                </c:pt>
                <c:pt idx="78">
                  <c:v>3.65</c:v>
                </c:pt>
                <c:pt idx="79">
                  <c:v>6.09</c:v>
                </c:pt>
                <c:pt idx="80">
                  <c:v>4.25</c:v>
                </c:pt>
                <c:pt idx="81">
                  <c:v>4.97</c:v>
                </c:pt>
                <c:pt idx="82">
                  <c:v>3.88</c:v>
                </c:pt>
                <c:pt idx="83">
                  <c:v>2.0700000000000003</c:v>
                </c:pt>
                <c:pt idx="84">
                  <c:v>2.83</c:v>
                </c:pt>
                <c:pt idx="85">
                  <c:v>6.2900000000000009</c:v>
                </c:pt>
                <c:pt idx="86">
                  <c:v>4.93</c:v>
                </c:pt>
                <c:pt idx="87">
                  <c:v>4.6900000000000004</c:v>
                </c:pt>
                <c:pt idx="88">
                  <c:v>1.9300000000000002</c:v>
                </c:pt>
                <c:pt idx="89">
                  <c:v>3.8499999999999996</c:v>
                </c:pt>
                <c:pt idx="90">
                  <c:v>3.16</c:v>
                </c:pt>
                <c:pt idx="91">
                  <c:v>1.4400000000000002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A-4616-94CA-42BB0E0F6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86160"/>
        <c:axId val="11753712"/>
      </c:barChart>
      <c:catAx>
        <c:axId val="25886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53712"/>
        <c:crosses val="autoZero"/>
        <c:auto val="1"/>
        <c:lblAlgn val="ctr"/>
        <c:lblOffset val="100"/>
        <c:noMultiLvlLbl val="0"/>
      </c:catAx>
      <c:valAx>
        <c:axId val="1175371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19050</xdr:rowOff>
    </xdr:from>
    <xdr:to>
      <xdr:col>14</xdr:col>
      <xdr:colOff>209550</xdr:colOff>
      <xdr:row>25</xdr:row>
      <xdr:rowOff>142875</xdr:rowOff>
    </xdr:to>
    <xdr:graphicFrame macro="">
      <xdr:nvGraphicFramePr>
        <xdr:cNvPr id="1158" name="Chart 1">
          <a:extLst>
            <a:ext uri="{FF2B5EF4-FFF2-40B4-BE49-F238E27FC236}">
              <a16:creationId xmlns:a16="http://schemas.microsoft.com/office/drawing/2014/main" id="{00000000-0008-0000-0300-00008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223837</xdr:colOff>
      <xdr:row>8</xdr:row>
      <xdr:rowOff>47625</xdr:rowOff>
    </xdr:from>
    <xdr:to>
      <xdr:col>12</xdr:col>
      <xdr:colOff>528637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1A481-FD3B-41D8-AF1B-E993F4CF3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6</xdr:row>
      <xdr:rowOff>152400</xdr:rowOff>
    </xdr:from>
    <xdr:to>
      <xdr:col>12</xdr:col>
      <xdr:colOff>590550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8B113-767A-43C5-8146-BB3FB1B64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2"/>
  <sheetViews>
    <sheetView tabSelected="1" zoomScale="120" zoomScaleNormal="120" workbookViewId="0">
      <pane xSplit="1" ySplit="1" topLeftCell="B99" activePane="bottomRight" state="frozen"/>
      <selection pane="topRight" activeCell="B1" sqref="B1"/>
      <selection pane="bottomLeft" activeCell="A2" sqref="A2"/>
      <selection pane="bottomRight" activeCell="R113" sqref="R113"/>
    </sheetView>
  </sheetViews>
  <sheetFormatPr defaultColWidth="8.7109375" defaultRowHeight="11.25" x14ac:dyDescent="0.2"/>
  <cols>
    <col min="1" max="1" width="9" style="1" customWidth="1"/>
    <col min="2" max="2" width="5" style="1" customWidth="1"/>
    <col min="3" max="3" width="6.5703125" style="1" bestFit="1" customWidth="1"/>
    <col min="4" max="4" width="7" style="1" bestFit="1" customWidth="1"/>
    <col min="5" max="5" width="6.7109375" style="1" bestFit="1" customWidth="1"/>
    <col min="6" max="6" width="7" style="1" bestFit="1" customWidth="1"/>
    <col min="7" max="7" width="6.85546875" style="1" bestFit="1" customWidth="1"/>
    <col min="8" max="8" width="6" style="1" bestFit="1" customWidth="1"/>
    <col min="9" max="9" width="6.85546875" style="1" bestFit="1" customWidth="1"/>
    <col min="10" max="10" width="6.7109375" style="1" bestFit="1" customWidth="1"/>
    <col min="11" max="11" width="6.5703125" style="1" bestFit="1" customWidth="1"/>
    <col min="12" max="12" width="6.85546875" style="1" bestFit="1" customWidth="1"/>
    <col min="13" max="13" width="6.7109375" style="1" bestFit="1" customWidth="1"/>
    <col min="14" max="14" width="6.7109375" style="13" bestFit="1" customWidth="1"/>
    <col min="15" max="15" width="6.7109375" style="13" customWidth="1"/>
    <col min="16" max="16" width="6.140625" style="13" customWidth="1"/>
    <col min="17" max="17" width="5.7109375" style="1" customWidth="1"/>
    <col min="18" max="18" width="8" style="1" bestFit="1" customWidth="1"/>
    <col min="19" max="19" width="6.140625" style="1" customWidth="1"/>
    <col min="20" max="20" width="6.28515625" style="1" bestFit="1" customWidth="1"/>
    <col min="21" max="21" width="7.28515625" style="1" bestFit="1" customWidth="1"/>
    <col min="22" max="22" width="7" style="1" customWidth="1"/>
    <col min="23" max="23" width="4.42578125" style="1" customWidth="1"/>
    <col min="24" max="24" width="2.85546875" style="1" customWidth="1"/>
    <col min="25" max="25" width="6.42578125" style="1" bestFit="1" customWidth="1"/>
    <col min="26" max="26" width="6.7109375" style="1" bestFit="1" customWidth="1"/>
    <col min="27" max="27" width="3.42578125" style="1" customWidth="1"/>
    <col min="28" max="28" width="6.85546875" style="1" bestFit="1" customWidth="1"/>
    <col min="29" max="29" width="7.42578125" style="1" bestFit="1" customWidth="1"/>
    <col min="30" max="16384" width="8.7109375" style="1"/>
  </cols>
  <sheetData>
    <row r="1" spans="1:29" ht="19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8" t="s">
        <v>24</v>
      </c>
      <c r="O1" s="17" t="s">
        <v>17</v>
      </c>
      <c r="P1" s="7" t="s">
        <v>20</v>
      </c>
      <c r="Q1" s="2" t="s">
        <v>0</v>
      </c>
      <c r="R1" s="8" t="s">
        <v>18</v>
      </c>
      <c r="S1" s="17" t="s">
        <v>17</v>
      </c>
      <c r="T1" s="7" t="s">
        <v>20</v>
      </c>
      <c r="U1" s="10" t="s">
        <v>23</v>
      </c>
      <c r="V1" s="17" t="s">
        <v>17</v>
      </c>
      <c r="W1" s="7" t="s">
        <v>20</v>
      </c>
      <c r="X1" s="7"/>
      <c r="Y1" s="2" t="s">
        <v>16</v>
      </c>
      <c r="Z1" s="2" t="s">
        <v>15</v>
      </c>
      <c r="AB1" s="1" t="s">
        <v>22</v>
      </c>
      <c r="AC1" s="1" t="s">
        <v>21</v>
      </c>
    </row>
    <row r="2" spans="1:29" x14ac:dyDescent="0.2">
      <c r="A2" s="1">
        <v>1924</v>
      </c>
      <c r="B2" s="35" t="s">
        <v>13</v>
      </c>
      <c r="C2" s="35" t="s">
        <v>13</v>
      </c>
      <c r="D2" s="35" t="s">
        <v>13</v>
      </c>
      <c r="E2" s="35" t="s">
        <v>13</v>
      </c>
      <c r="F2" s="2">
        <v>0.64</v>
      </c>
      <c r="G2" s="2">
        <v>0.63</v>
      </c>
      <c r="H2" s="2">
        <v>2.91</v>
      </c>
      <c r="I2" s="2">
        <v>0.65</v>
      </c>
      <c r="J2" s="2">
        <v>0.47</v>
      </c>
      <c r="K2" s="2">
        <v>0.42</v>
      </c>
      <c r="L2" s="2">
        <v>0.1</v>
      </c>
      <c r="M2" s="2">
        <v>2.27</v>
      </c>
      <c r="N2" s="10">
        <f t="shared" ref="N2:N53" si="0">SUM(B2:M2)</f>
        <v>8.09</v>
      </c>
      <c r="O2" s="34">
        <v>-4</v>
      </c>
      <c r="P2" s="7"/>
      <c r="Q2" s="2"/>
      <c r="R2" s="8"/>
      <c r="S2" s="17"/>
      <c r="T2" s="7"/>
      <c r="U2" s="10"/>
      <c r="V2" s="17"/>
      <c r="W2" s="7"/>
      <c r="X2" s="7"/>
      <c r="Y2" s="2"/>
      <c r="Z2" s="2"/>
    </row>
    <row r="3" spans="1:29" ht="12" customHeight="1" x14ac:dyDescent="0.2">
      <c r="A3" s="1">
        <v>1925</v>
      </c>
      <c r="B3" s="1">
        <v>0.53</v>
      </c>
      <c r="C3" s="1">
        <v>0.25</v>
      </c>
      <c r="D3" s="1">
        <v>0.81</v>
      </c>
      <c r="E3" s="1">
        <v>0.25</v>
      </c>
      <c r="F3" s="1">
        <v>1.03</v>
      </c>
      <c r="G3" s="1">
        <v>1.45</v>
      </c>
      <c r="H3" s="1">
        <v>2.89</v>
      </c>
      <c r="I3" s="1">
        <v>2.5499999999999998</v>
      </c>
      <c r="J3" s="1">
        <v>1.41</v>
      </c>
      <c r="K3" s="1">
        <v>2.84</v>
      </c>
      <c r="L3" s="1">
        <v>0.53</v>
      </c>
      <c r="M3" s="1">
        <v>0.56999999999999995</v>
      </c>
      <c r="N3" s="10">
        <f t="shared" si="0"/>
        <v>15.110000000000001</v>
      </c>
      <c r="P3" s="16">
        <f>(N3/15.95)*100</f>
        <v>94.733542319749233</v>
      </c>
      <c r="Q3" s="1">
        <v>1925</v>
      </c>
      <c r="R3" s="9"/>
      <c r="T3" s="6"/>
      <c r="U3" s="9"/>
      <c r="Y3" s="5">
        <f>SUM(B3:G3)</f>
        <v>4.32</v>
      </c>
      <c r="Z3" s="5">
        <f>SUM(K3:M3)</f>
        <v>3.94</v>
      </c>
      <c r="AB3" s="1">
        <f>SUM(B3:I3)</f>
        <v>9.7600000000000016</v>
      </c>
      <c r="AC3" s="1">
        <f t="shared" ref="AC3:AC36" si="1">SUM(J3:M3)</f>
        <v>5.3500000000000005</v>
      </c>
    </row>
    <row r="4" spans="1:29" ht="12" customHeight="1" x14ac:dyDescent="0.2">
      <c r="A4" s="1">
        <v>1926</v>
      </c>
      <c r="B4" s="1">
        <v>0.52</v>
      </c>
      <c r="C4" s="1">
        <v>0</v>
      </c>
      <c r="D4" s="1">
        <v>2.0099999999999998</v>
      </c>
      <c r="E4" s="35" t="s">
        <v>13</v>
      </c>
      <c r="F4" s="1">
        <v>2.41</v>
      </c>
      <c r="G4" s="1">
        <v>0.31</v>
      </c>
      <c r="H4" s="1">
        <v>4.3</v>
      </c>
      <c r="I4" s="1">
        <v>0.64</v>
      </c>
      <c r="J4" s="1">
        <v>1.57</v>
      </c>
      <c r="K4" s="35" t="s">
        <v>13</v>
      </c>
      <c r="L4" s="35" t="s">
        <v>13</v>
      </c>
      <c r="M4" s="1">
        <v>2.44</v>
      </c>
      <c r="N4" s="10">
        <f t="shared" si="0"/>
        <v>14.2</v>
      </c>
      <c r="O4" s="13">
        <v>-3</v>
      </c>
      <c r="P4" s="16"/>
      <c r="R4" s="9"/>
      <c r="T4" s="6"/>
      <c r="U4" s="9"/>
      <c r="Y4" s="5"/>
      <c r="Z4" s="5"/>
    </row>
    <row r="5" spans="1:29" ht="12" customHeight="1" x14ac:dyDescent="0.2">
      <c r="A5" s="1">
        <v>1927</v>
      </c>
      <c r="B5" s="35" t="s">
        <v>13</v>
      </c>
      <c r="C5" s="1">
        <v>1.1000000000000001</v>
      </c>
      <c r="D5" s="1">
        <v>0.2</v>
      </c>
      <c r="E5" s="1">
        <v>0.31</v>
      </c>
      <c r="F5" s="1">
        <v>0</v>
      </c>
      <c r="G5" s="1">
        <v>2.96</v>
      </c>
      <c r="H5" s="1">
        <v>0.79</v>
      </c>
      <c r="I5" s="1">
        <v>4.83</v>
      </c>
      <c r="J5" s="1">
        <v>4.09</v>
      </c>
      <c r="K5" s="1">
        <v>0.45</v>
      </c>
      <c r="L5" s="1">
        <v>0.1</v>
      </c>
      <c r="M5" s="1">
        <v>0.65</v>
      </c>
      <c r="N5" s="10">
        <f t="shared" si="0"/>
        <v>15.48</v>
      </c>
      <c r="O5" s="13">
        <v>-1</v>
      </c>
      <c r="P5" s="16"/>
      <c r="R5" s="9"/>
      <c r="T5" s="6"/>
      <c r="U5" s="9"/>
      <c r="Y5" s="5"/>
      <c r="Z5" s="5"/>
    </row>
    <row r="6" spans="1:29" ht="12" customHeight="1" x14ac:dyDescent="0.2">
      <c r="A6" s="1">
        <v>1928</v>
      </c>
      <c r="B6" s="1">
        <v>0</v>
      </c>
      <c r="C6" s="1">
        <v>0.75</v>
      </c>
      <c r="D6" s="1">
        <v>0.42</v>
      </c>
      <c r="E6" s="1">
        <v>1.26</v>
      </c>
      <c r="F6" s="1">
        <v>2.04</v>
      </c>
      <c r="G6" s="1">
        <v>0.12</v>
      </c>
      <c r="H6" s="1">
        <v>1.17</v>
      </c>
      <c r="I6" s="1">
        <v>4.82</v>
      </c>
      <c r="J6" s="1">
        <v>0</v>
      </c>
      <c r="K6" s="1">
        <v>1.3</v>
      </c>
      <c r="L6" s="1">
        <v>0.51</v>
      </c>
      <c r="M6" s="1">
        <v>0.28999999999999998</v>
      </c>
      <c r="N6" s="10">
        <f t="shared" si="0"/>
        <v>12.68</v>
      </c>
      <c r="P6" s="16">
        <f>(N6/15.95)*100</f>
        <v>79.498432601880879</v>
      </c>
      <c r="Q6" s="1">
        <v>1928</v>
      </c>
      <c r="R6" s="9"/>
      <c r="T6" s="6"/>
      <c r="U6" s="9"/>
      <c r="V6" s="6"/>
      <c r="W6" s="6"/>
      <c r="X6" s="6"/>
      <c r="Y6" s="5">
        <f t="shared" ref="Y6:Y68" si="2">SUM(B6:G6)</f>
        <v>4.59</v>
      </c>
      <c r="Z6" s="5">
        <f t="shared" ref="Z6:Z69" si="3">SUM(K6:M6)</f>
        <v>2.1</v>
      </c>
      <c r="AB6" s="1">
        <f t="shared" ref="AB6:AB69" si="4">SUM(B6:I6)</f>
        <v>10.58</v>
      </c>
      <c r="AC6" s="1">
        <f t="shared" si="1"/>
        <v>2.1</v>
      </c>
    </row>
    <row r="7" spans="1:29" ht="12" customHeight="1" x14ac:dyDescent="0.2">
      <c r="A7" s="1">
        <v>1929</v>
      </c>
      <c r="B7" s="1">
        <v>0.11</v>
      </c>
      <c r="C7" s="1">
        <v>1.78</v>
      </c>
      <c r="D7" s="1">
        <v>0.37</v>
      </c>
      <c r="E7" s="1">
        <v>0.27</v>
      </c>
      <c r="F7" s="1">
        <v>3.93</v>
      </c>
      <c r="G7" s="1">
        <v>0.59</v>
      </c>
      <c r="H7" s="1">
        <v>2.46</v>
      </c>
      <c r="I7" s="1">
        <v>3.16</v>
      </c>
      <c r="J7" s="1">
        <v>3.74</v>
      </c>
      <c r="K7" s="1">
        <v>1.71</v>
      </c>
      <c r="L7" s="1">
        <v>1.04</v>
      </c>
      <c r="M7" s="1">
        <v>0.03</v>
      </c>
      <c r="N7" s="10">
        <f t="shared" si="0"/>
        <v>19.190000000000005</v>
      </c>
      <c r="P7" s="16">
        <f>(N7/15.95)*100</f>
        <v>120.31347962382448</v>
      </c>
      <c r="Q7" s="1">
        <v>1929</v>
      </c>
      <c r="R7" s="9">
        <f>SUM(Z6+Y7)</f>
        <v>9.15</v>
      </c>
      <c r="T7" s="6">
        <f t="shared" ref="T7:T68" si="5">(R7/8.68)*100</f>
        <v>105.4147465437788</v>
      </c>
      <c r="U7" s="9">
        <f>SUM(AC6+AB7)</f>
        <v>14.770000000000001</v>
      </c>
      <c r="V7" s="6"/>
      <c r="W7" s="6">
        <f>(U7/15.34)*100</f>
        <v>96.284224250325963</v>
      </c>
      <c r="X7" s="6"/>
      <c r="Y7" s="5">
        <f t="shared" si="2"/>
        <v>7.0500000000000007</v>
      </c>
      <c r="Z7" s="5">
        <f t="shared" si="3"/>
        <v>2.78</v>
      </c>
      <c r="AB7" s="1">
        <f t="shared" si="4"/>
        <v>12.670000000000002</v>
      </c>
      <c r="AC7" s="1">
        <f t="shared" si="1"/>
        <v>6.5200000000000005</v>
      </c>
    </row>
    <row r="8" spans="1:29" ht="12" customHeight="1" x14ac:dyDescent="0.2">
      <c r="A8" s="1">
        <v>1931</v>
      </c>
      <c r="B8" s="1">
        <v>0.13</v>
      </c>
      <c r="C8" s="1">
        <v>2.17</v>
      </c>
      <c r="D8" s="1">
        <v>3</v>
      </c>
      <c r="E8" s="1">
        <v>2.72</v>
      </c>
      <c r="F8" s="1">
        <v>0.52</v>
      </c>
      <c r="G8" s="1">
        <v>0.41</v>
      </c>
      <c r="H8" s="1">
        <v>2.74</v>
      </c>
      <c r="I8" s="1">
        <v>2.2599999999999998</v>
      </c>
      <c r="J8" s="1">
        <v>5.25</v>
      </c>
      <c r="K8" s="1">
        <v>1.44</v>
      </c>
      <c r="L8" s="1">
        <v>2.16</v>
      </c>
      <c r="M8" s="1">
        <v>0.88</v>
      </c>
      <c r="N8" s="10">
        <f t="shared" si="0"/>
        <v>23.68</v>
      </c>
      <c r="P8" s="16">
        <f>(N8/15.95)*100</f>
        <v>148.4639498432602</v>
      </c>
      <c r="Q8" s="1">
        <v>1931</v>
      </c>
      <c r="R8" s="9"/>
      <c r="T8" s="6"/>
      <c r="U8" s="9"/>
      <c r="V8" s="6"/>
      <c r="W8" s="6"/>
      <c r="X8" s="6"/>
      <c r="Y8" s="5">
        <f t="shared" si="2"/>
        <v>8.9499999999999993</v>
      </c>
      <c r="Z8" s="5">
        <f t="shared" si="3"/>
        <v>4.4800000000000004</v>
      </c>
      <c r="AB8" s="1">
        <f t="shared" si="4"/>
        <v>13.95</v>
      </c>
      <c r="AC8" s="1">
        <f t="shared" si="1"/>
        <v>9.73</v>
      </c>
    </row>
    <row r="9" spans="1:29" ht="12" customHeight="1" x14ac:dyDescent="0.2">
      <c r="A9" s="1">
        <v>1932</v>
      </c>
      <c r="B9" s="1">
        <v>0.84</v>
      </c>
      <c r="C9" s="1">
        <v>1.1000000000000001</v>
      </c>
      <c r="D9" s="1">
        <v>0.64</v>
      </c>
      <c r="E9" s="1">
        <v>0.39</v>
      </c>
      <c r="F9" s="1">
        <v>1.62</v>
      </c>
      <c r="G9" s="1">
        <v>0.85</v>
      </c>
      <c r="H9" s="1">
        <v>2.5299999999999998</v>
      </c>
      <c r="I9" s="1">
        <v>2.2400000000000002</v>
      </c>
      <c r="J9" s="1">
        <v>1.07</v>
      </c>
      <c r="K9" s="1">
        <v>1.72</v>
      </c>
      <c r="L9" s="1">
        <v>0</v>
      </c>
      <c r="M9" s="1">
        <v>1.26</v>
      </c>
      <c r="N9" s="10">
        <f t="shared" si="0"/>
        <v>14.26</v>
      </c>
      <c r="P9" s="16">
        <f>(N9/15.95)*100</f>
        <v>89.404388714733543</v>
      </c>
      <c r="Q9" s="1">
        <v>1932</v>
      </c>
      <c r="R9" s="9">
        <f>SUM(Z8+Y9)</f>
        <v>9.92</v>
      </c>
      <c r="T9" s="6">
        <f t="shared" si="5"/>
        <v>114.28571428571428</v>
      </c>
      <c r="U9" s="9">
        <f>SUM(AC8+AB9)</f>
        <v>19.939999999999998</v>
      </c>
      <c r="V9" s="6"/>
      <c r="W9" s="6">
        <f>(U9/15.34)*100</f>
        <v>129.98696219035202</v>
      </c>
      <c r="X9" s="6"/>
      <c r="Y9" s="5">
        <f t="shared" si="2"/>
        <v>5.4399999999999995</v>
      </c>
      <c r="Z9" s="5">
        <f t="shared" si="3"/>
        <v>2.98</v>
      </c>
      <c r="AB9" s="1">
        <f t="shared" si="4"/>
        <v>10.209999999999999</v>
      </c>
      <c r="AC9" s="1">
        <f t="shared" si="1"/>
        <v>4.05</v>
      </c>
    </row>
    <row r="10" spans="1:29" ht="12" customHeight="1" x14ac:dyDescent="0.2">
      <c r="A10" s="1">
        <v>1933</v>
      </c>
      <c r="B10" s="1">
        <v>0.57999999999999996</v>
      </c>
      <c r="C10" s="22" t="s">
        <v>13</v>
      </c>
      <c r="D10" s="1">
        <v>0.39</v>
      </c>
      <c r="E10" s="1">
        <v>0.53</v>
      </c>
      <c r="F10" s="1">
        <v>0.31</v>
      </c>
      <c r="G10" s="1">
        <v>2.65</v>
      </c>
      <c r="H10" s="1">
        <v>2.4300000000000002</v>
      </c>
      <c r="I10" s="1">
        <v>2.88</v>
      </c>
      <c r="J10" s="1">
        <v>1.1299999999999999</v>
      </c>
      <c r="K10" s="22" t="s">
        <v>13</v>
      </c>
      <c r="L10" s="22" t="s">
        <v>13</v>
      </c>
      <c r="M10" s="22" t="s">
        <v>13</v>
      </c>
      <c r="N10" s="10">
        <f t="shared" si="0"/>
        <v>10.899999999999999</v>
      </c>
      <c r="O10" s="13">
        <v>-4</v>
      </c>
      <c r="P10" s="16"/>
      <c r="Q10" s="1">
        <v>1933</v>
      </c>
      <c r="R10" s="9"/>
      <c r="S10" s="1">
        <v>-1</v>
      </c>
      <c r="T10" s="6"/>
      <c r="U10" s="9"/>
      <c r="V10" s="6">
        <v>-1</v>
      </c>
      <c r="W10" s="6"/>
      <c r="X10" s="6"/>
      <c r="Y10" s="5" t="s">
        <v>14</v>
      </c>
      <c r="Z10" s="5" t="s">
        <v>14</v>
      </c>
      <c r="AB10" s="1">
        <f t="shared" si="4"/>
        <v>9.77</v>
      </c>
      <c r="AC10" s="1">
        <f t="shared" si="1"/>
        <v>1.1299999999999999</v>
      </c>
    </row>
    <row r="11" spans="1:29" ht="12" customHeight="1" x14ac:dyDescent="0.2">
      <c r="A11" s="1">
        <v>1934</v>
      </c>
      <c r="B11" s="22" t="s">
        <v>13</v>
      </c>
      <c r="C11" s="22" t="s">
        <v>13</v>
      </c>
      <c r="D11" s="22" t="s">
        <v>13</v>
      </c>
      <c r="E11" s="22" t="s">
        <v>13</v>
      </c>
      <c r="F11" s="1">
        <v>2.63</v>
      </c>
      <c r="G11" s="1">
        <v>0.42</v>
      </c>
      <c r="H11" s="1">
        <v>1.61</v>
      </c>
      <c r="I11" s="1">
        <v>2.56</v>
      </c>
      <c r="J11" s="1">
        <v>1.95</v>
      </c>
      <c r="K11" s="1">
        <v>0.62</v>
      </c>
      <c r="L11" s="22" t="s">
        <v>13</v>
      </c>
      <c r="M11" s="22" t="s">
        <v>13</v>
      </c>
      <c r="N11" s="10">
        <f t="shared" si="0"/>
        <v>9.7899999999999991</v>
      </c>
      <c r="O11" s="13">
        <v>-6</v>
      </c>
      <c r="P11" s="16"/>
      <c r="Q11" s="1">
        <v>1934</v>
      </c>
      <c r="R11" s="9"/>
      <c r="S11" s="1">
        <v>-7</v>
      </c>
      <c r="T11" s="6"/>
      <c r="U11" s="9"/>
      <c r="V11" s="6">
        <v>-7</v>
      </c>
      <c r="W11" s="6"/>
      <c r="X11" s="6"/>
      <c r="Y11" s="5" t="s">
        <v>14</v>
      </c>
      <c r="Z11" s="5" t="s">
        <v>14</v>
      </c>
      <c r="AB11" s="1">
        <f t="shared" si="4"/>
        <v>7.2200000000000006</v>
      </c>
      <c r="AC11" s="1">
        <f t="shared" si="1"/>
        <v>2.57</v>
      </c>
    </row>
    <row r="12" spans="1:29" ht="12" customHeight="1" x14ac:dyDescent="0.2">
      <c r="A12" s="1">
        <v>1935</v>
      </c>
      <c r="B12" s="1">
        <v>0.63</v>
      </c>
      <c r="C12" s="1">
        <v>0.47</v>
      </c>
      <c r="D12" s="1">
        <v>0.1</v>
      </c>
      <c r="E12" s="1">
        <v>1.03</v>
      </c>
      <c r="F12" s="1">
        <v>1.79</v>
      </c>
      <c r="G12" s="1">
        <v>0.12</v>
      </c>
      <c r="H12" s="1">
        <v>1.06</v>
      </c>
      <c r="I12" s="1">
        <v>5.62</v>
      </c>
      <c r="J12" s="1">
        <v>1.36</v>
      </c>
      <c r="K12" s="1">
        <v>0.69</v>
      </c>
      <c r="L12" s="1">
        <v>1.46</v>
      </c>
      <c r="M12" s="1">
        <v>0.5</v>
      </c>
      <c r="N12" s="10">
        <f t="shared" si="0"/>
        <v>14.829999999999998</v>
      </c>
      <c r="P12" s="16">
        <f t="shared" ref="P12:P75" si="6">(N12/15.95)*100</f>
        <v>92.978056426332273</v>
      </c>
      <c r="Q12" s="1">
        <v>1935</v>
      </c>
      <c r="R12" s="9"/>
      <c r="S12" s="1">
        <v>-2</v>
      </c>
      <c r="T12" s="6"/>
      <c r="U12" s="9"/>
      <c r="V12" s="6">
        <v>-2</v>
      </c>
      <c r="W12" s="6"/>
      <c r="X12" s="6"/>
      <c r="Y12" s="5">
        <f t="shared" si="2"/>
        <v>4.1400000000000006</v>
      </c>
      <c r="Z12" s="5">
        <f t="shared" si="3"/>
        <v>2.65</v>
      </c>
      <c r="AB12" s="1">
        <f t="shared" si="4"/>
        <v>10.82</v>
      </c>
      <c r="AC12" s="1">
        <f>SUM(J12:M12)</f>
        <v>4.01</v>
      </c>
    </row>
    <row r="13" spans="1:29" ht="12" customHeight="1" x14ac:dyDescent="0.2">
      <c r="A13" s="1">
        <v>1936</v>
      </c>
      <c r="B13" s="1">
        <v>0.76</v>
      </c>
      <c r="C13" s="1">
        <v>0.85</v>
      </c>
      <c r="D13" s="1">
        <v>0.48</v>
      </c>
      <c r="E13" s="1">
        <v>0.59</v>
      </c>
      <c r="F13" s="1">
        <v>1.58</v>
      </c>
      <c r="G13" s="1">
        <v>0.55000000000000004</v>
      </c>
      <c r="H13" s="1">
        <v>3.23</v>
      </c>
      <c r="I13" s="1">
        <v>1.32</v>
      </c>
      <c r="J13" s="1">
        <v>3.16</v>
      </c>
      <c r="K13" s="1">
        <v>0.76</v>
      </c>
      <c r="L13" s="1">
        <v>7.0000000000000007E-2</v>
      </c>
      <c r="M13" s="1">
        <v>1.1299999999999999</v>
      </c>
      <c r="N13" s="10">
        <f t="shared" si="0"/>
        <v>14.48</v>
      </c>
      <c r="P13" s="16">
        <f t="shared" si="6"/>
        <v>90.783699059561144</v>
      </c>
      <c r="Q13" s="1">
        <v>1936</v>
      </c>
      <c r="R13" s="9">
        <f t="shared" ref="R13:R46" si="7">SUM(Z12+Y13)</f>
        <v>7.4599999999999991</v>
      </c>
      <c r="S13" s="5"/>
      <c r="T13" s="6">
        <f t="shared" si="5"/>
        <v>85.94470046082948</v>
      </c>
      <c r="U13" s="9">
        <f>SUM(AC12+AB13)</f>
        <v>13.37</v>
      </c>
      <c r="V13" s="6"/>
      <c r="W13" s="6">
        <f t="shared" ref="W13:W52" si="8">(U13/15.34)*100</f>
        <v>87.157757496740544</v>
      </c>
      <c r="X13" s="6"/>
      <c r="Y13" s="5">
        <f t="shared" si="2"/>
        <v>4.8099999999999996</v>
      </c>
      <c r="Z13" s="5">
        <f t="shared" si="3"/>
        <v>1.96</v>
      </c>
      <c r="AB13" s="1">
        <f t="shared" si="4"/>
        <v>9.36</v>
      </c>
      <c r="AC13" s="1">
        <f t="shared" si="1"/>
        <v>5.1199999999999992</v>
      </c>
    </row>
    <row r="14" spans="1:29" ht="12" customHeight="1" x14ac:dyDescent="0.2">
      <c r="A14" s="1">
        <v>1937</v>
      </c>
      <c r="B14" s="1">
        <v>0.21</v>
      </c>
      <c r="C14" s="1">
        <v>0.87</v>
      </c>
      <c r="D14" s="1">
        <v>0.67</v>
      </c>
      <c r="E14" s="1">
        <v>0.36</v>
      </c>
      <c r="F14" s="1">
        <v>4.1500000000000004</v>
      </c>
      <c r="G14" s="1">
        <v>3.04</v>
      </c>
      <c r="H14" s="1">
        <v>1.01</v>
      </c>
      <c r="I14" s="1">
        <v>0.9</v>
      </c>
      <c r="J14" s="1">
        <v>1.74</v>
      </c>
      <c r="K14" s="1">
        <v>1.3</v>
      </c>
      <c r="L14" s="1">
        <v>0</v>
      </c>
      <c r="M14" s="1">
        <v>0.53</v>
      </c>
      <c r="N14" s="10">
        <f t="shared" si="0"/>
        <v>14.780000000000001</v>
      </c>
      <c r="P14" s="16">
        <f t="shared" si="6"/>
        <v>92.664576802507852</v>
      </c>
      <c r="Q14" s="1">
        <v>1937</v>
      </c>
      <c r="R14" s="9">
        <f t="shared" si="7"/>
        <v>11.260000000000002</v>
      </c>
      <c r="T14" s="6">
        <f t="shared" si="5"/>
        <v>129.72350230414747</v>
      </c>
      <c r="U14" s="9">
        <f t="shared" ref="U14:U52" si="9">SUM(AC13+AB14)</f>
        <v>16.329999999999998</v>
      </c>
      <c r="V14" s="6"/>
      <c r="W14" s="6">
        <f t="shared" si="8"/>
        <v>106.45371577574967</v>
      </c>
      <c r="X14" s="6"/>
      <c r="Y14" s="5">
        <f t="shared" si="2"/>
        <v>9.3000000000000007</v>
      </c>
      <c r="Z14" s="5">
        <f t="shared" si="3"/>
        <v>1.83</v>
      </c>
      <c r="AB14" s="1">
        <f t="shared" si="4"/>
        <v>11.21</v>
      </c>
      <c r="AC14" s="1">
        <f t="shared" si="1"/>
        <v>3.5700000000000003</v>
      </c>
    </row>
    <row r="15" spans="1:29" ht="12" customHeight="1" x14ac:dyDescent="0.2">
      <c r="A15" s="1">
        <v>1938</v>
      </c>
      <c r="B15" s="1">
        <v>0.35</v>
      </c>
      <c r="C15" s="1">
        <v>0.52</v>
      </c>
      <c r="D15" s="1">
        <v>1.1499999999999999</v>
      </c>
      <c r="E15" s="1">
        <v>0.15</v>
      </c>
      <c r="F15" s="1">
        <v>0.84</v>
      </c>
      <c r="G15" s="1">
        <v>1.62</v>
      </c>
      <c r="H15" s="1">
        <v>1.63</v>
      </c>
      <c r="I15" s="1">
        <v>0.49</v>
      </c>
      <c r="J15" s="1">
        <v>2.38</v>
      </c>
      <c r="K15" s="1">
        <v>1.52</v>
      </c>
      <c r="L15" s="1">
        <v>0.73</v>
      </c>
      <c r="M15" s="1">
        <v>0.82</v>
      </c>
      <c r="N15" s="10">
        <f t="shared" si="0"/>
        <v>12.2</v>
      </c>
      <c r="O15" s="14"/>
      <c r="P15" s="16">
        <f t="shared" si="6"/>
        <v>76.489028213166137</v>
      </c>
      <c r="Q15" s="1">
        <v>1938</v>
      </c>
      <c r="R15" s="9">
        <f t="shared" si="7"/>
        <v>6.46</v>
      </c>
      <c r="T15" s="6">
        <f t="shared" si="5"/>
        <v>74.423963133640555</v>
      </c>
      <c r="U15" s="9">
        <f t="shared" si="9"/>
        <v>10.32</v>
      </c>
      <c r="V15" s="6"/>
      <c r="W15" s="6">
        <f t="shared" si="8"/>
        <v>67.275097783572363</v>
      </c>
      <c r="X15" s="6"/>
      <c r="Y15" s="5">
        <f t="shared" si="2"/>
        <v>4.63</v>
      </c>
      <c r="Z15" s="5">
        <f t="shared" si="3"/>
        <v>3.07</v>
      </c>
      <c r="AB15" s="1">
        <f t="shared" si="4"/>
        <v>6.75</v>
      </c>
      <c r="AC15" s="1">
        <f t="shared" si="1"/>
        <v>5.45</v>
      </c>
    </row>
    <row r="16" spans="1:29" ht="12" customHeight="1" x14ac:dyDescent="0.2">
      <c r="A16" s="1">
        <v>1939</v>
      </c>
      <c r="B16" s="1">
        <v>2.14</v>
      </c>
      <c r="C16" s="1">
        <v>0.84</v>
      </c>
      <c r="D16" s="1">
        <v>0.85</v>
      </c>
      <c r="E16" s="1">
        <v>0.68</v>
      </c>
      <c r="F16" s="1">
        <v>0.6</v>
      </c>
      <c r="G16" s="1">
        <v>0.34</v>
      </c>
      <c r="H16" s="1">
        <v>4.5199999999999996</v>
      </c>
      <c r="I16" s="1">
        <v>2.0499999999999998</v>
      </c>
      <c r="J16" s="1">
        <v>2</v>
      </c>
      <c r="K16" s="1">
        <v>1.62</v>
      </c>
      <c r="L16" s="1">
        <v>1.79</v>
      </c>
      <c r="M16" s="1">
        <v>0.6</v>
      </c>
      <c r="N16" s="10">
        <f t="shared" si="0"/>
        <v>18.03</v>
      </c>
      <c r="P16" s="16">
        <f t="shared" si="6"/>
        <v>113.04075235109718</v>
      </c>
      <c r="Q16" s="1">
        <v>1939</v>
      </c>
      <c r="R16" s="9">
        <f t="shared" si="7"/>
        <v>8.52</v>
      </c>
      <c r="T16" s="6">
        <f t="shared" si="5"/>
        <v>98.156682027649765</v>
      </c>
      <c r="U16" s="9">
        <f t="shared" si="9"/>
        <v>17.47</v>
      </c>
      <c r="V16" s="6"/>
      <c r="W16" s="6">
        <f t="shared" si="8"/>
        <v>113.88526727509777</v>
      </c>
      <c r="X16" s="6"/>
      <c r="Y16" s="5">
        <f t="shared" si="2"/>
        <v>5.4499999999999993</v>
      </c>
      <c r="Z16" s="5">
        <f t="shared" si="3"/>
        <v>4.01</v>
      </c>
      <c r="AB16" s="1">
        <f t="shared" si="4"/>
        <v>12.02</v>
      </c>
      <c r="AC16" s="1">
        <f t="shared" si="1"/>
        <v>6.01</v>
      </c>
    </row>
    <row r="17" spans="1:29" ht="12" customHeight="1" x14ac:dyDescent="0.2">
      <c r="A17" s="1">
        <v>1940</v>
      </c>
      <c r="B17" s="1">
        <v>0.6</v>
      </c>
      <c r="C17" s="1">
        <v>1.63</v>
      </c>
      <c r="D17" s="1">
        <v>1.34</v>
      </c>
      <c r="E17" s="1">
        <v>0.44</v>
      </c>
      <c r="F17" s="1">
        <v>1.69</v>
      </c>
      <c r="G17" s="1">
        <v>0.25</v>
      </c>
      <c r="H17" s="1">
        <v>3.45</v>
      </c>
      <c r="I17" s="1">
        <v>1.74</v>
      </c>
      <c r="J17" s="1">
        <v>3.12</v>
      </c>
      <c r="K17" s="1">
        <v>0.59</v>
      </c>
      <c r="L17" s="1">
        <v>2.2799999999999998</v>
      </c>
      <c r="M17" s="1">
        <v>3.32</v>
      </c>
      <c r="N17" s="10">
        <f t="shared" si="0"/>
        <v>20.450000000000003</v>
      </c>
      <c r="P17" s="16">
        <f t="shared" si="6"/>
        <v>128.21316614420064</v>
      </c>
      <c r="Q17" s="1">
        <v>1940</v>
      </c>
      <c r="R17" s="9">
        <f t="shared" si="7"/>
        <v>9.9600000000000009</v>
      </c>
      <c r="T17" s="6">
        <f t="shared" si="5"/>
        <v>114.74654377880185</v>
      </c>
      <c r="U17" s="9">
        <f t="shared" si="9"/>
        <v>17.150000000000002</v>
      </c>
      <c r="V17" s="6"/>
      <c r="W17" s="6">
        <f t="shared" si="8"/>
        <v>111.79921773142114</v>
      </c>
      <c r="X17" s="6"/>
      <c r="Y17" s="5">
        <f t="shared" si="2"/>
        <v>5.9500000000000011</v>
      </c>
      <c r="Z17" s="5">
        <f t="shared" si="3"/>
        <v>6.1899999999999995</v>
      </c>
      <c r="AB17" s="1">
        <f t="shared" si="4"/>
        <v>11.140000000000002</v>
      </c>
      <c r="AC17" s="1">
        <f t="shared" si="1"/>
        <v>9.31</v>
      </c>
    </row>
    <row r="18" spans="1:29" ht="12" customHeight="1" x14ac:dyDescent="0.2">
      <c r="A18" s="1">
        <v>1941</v>
      </c>
      <c r="B18" s="1">
        <v>1.51</v>
      </c>
      <c r="C18" s="1">
        <v>1.61</v>
      </c>
      <c r="D18" s="1">
        <v>3.79</v>
      </c>
      <c r="E18" s="1">
        <v>2.17</v>
      </c>
      <c r="F18" s="1">
        <v>2.4300000000000002</v>
      </c>
      <c r="G18" s="1">
        <v>1.42</v>
      </c>
      <c r="H18" s="1">
        <v>2.64</v>
      </c>
      <c r="I18" s="1">
        <v>2.34</v>
      </c>
      <c r="J18" s="1">
        <v>3.15</v>
      </c>
      <c r="K18" s="1">
        <v>3.37</v>
      </c>
      <c r="L18" s="1">
        <v>0.77</v>
      </c>
      <c r="M18" s="1">
        <v>0.76</v>
      </c>
      <c r="N18" s="10">
        <f t="shared" si="0"/>
        <v>25.96</v>
      </c>
      <c r="P18" s="16">
        <f t="shared" si="6"/>
        <v>162.75862068965517</v>
      </c>
      <c r="Q18" s="1">
        <v>1941</v>
      </c>
      <c r="R18" s="9">
        <f t="shared" si="7"/>
        <v>19.119999999999997</v>
      </c>
      <c r="T18" s="6">
        <f t="shared" si="5"/>
        <v>220.2764976958525</v>
      </c>
      <c r="U18" s="9">
        <f t="shared" si="9"/>
        <v>27.22</v>
      </c>
      <c r="V18" s="6"/>
      <c r="W18" s="6">
        <f t="shared" si="8"/>
        <v>177.44458930899609</v>
      </c>
      <c r="X18" s="6"/>
      <c r="Y18" s="5">
        <f t="shared" si="2"/>
        <v>12.93</v>
      </c>
      <c r="Z18" s="5">
        <f t="shared" si="3"/>
        <v>4.9000000000000004</v>
      </c>
      <c r="AB18" s="1">
        <f t="shared" si="4"/>
        <v>17.91</v>
      </c>
      <c r="AC18" s="1">
        <f t="shared" si="1"/>
        <v>8.0499999999999989</v>
      </c>
    </row>
    <row r="19" spans="1:29" ht="12" customHeight="1" x14ac:dyDescent="0.2">
      <c r="A19" s="1">
        <v>1942</v>
      </c>
      <c r="B19" s="1">
        <v>0.05</v>
      </c>
      <c r="C19" s="1">
        <v>0.92</v>
      </c>
      <c r="D19" s="1">
        <v>1.04</v>
      </c>
      <c r="E19" s="1">
        <v>3.38</v>
      </c>
      <c r="F19" s="1">
        <v>0.59</v>
      </c>
      <c r="G19" s="1">
        <v>0.57999999999999996</v>
      </c>
      <c r="H19" s="1">
        <v>0.69</v>
      </c>
      <c r="I19" s="1">
        <v>1.78</v>
      </c>
      <c r="J19" s="1">
        <v>2.42</v>
      </c>
      <c r="K19" s="1">
        <v>1.1599999999999999</v>
      </c>
      <c r="L19" s="1">
        <v>5.0000000000000001E-3</v>
      </c>
      <c r="M19" s="1">
        <v>1.31</v>
      </c>
      <c r="N19" s="10">
        <f t="shared" si="0"/>
        <v>13.925000000000001</v>
      </c>
      <c r="P19" s="16">
        <f t="shared" si="6"/>
        <v>87.304075235109721</v>
      </c>
      <c r="Q19" s="1">
        <v>1942</v>
      </c>
      <c r="R19" s="9">
        <f t="shared" si="7"/>
        <v>11.46</v>
      </c>
      <c r="T19" s="6">
        <f t="shared" si="5"/>
        <v>132.02764976958528</v>
      </c>
      <c r="U19" s="9">
        <f t="shared" si="9"/>
        <v>17.079999999999998</v>
      </c>
      <c r="V19" s="6"/>
      <c r="W19" s="6">
        <f t="shared" si="8"/>
        <v>111.34289439374183</v>
      </c>
      <c r="X19" s="6"/>
      <c r="Y19" s="5">
        <f t="shared" si="2"/>
        <v>6.5600000000000005</v>
      </c>
      <c r="Z19" s="5">
        <f t="shared" si="3"/>
        <v>2.4749999999999996</v>
      </c>
      <c r="AB19" s="1">
        <f t="shared" si="4"/>
        <v>9.0299999999999994</v>
      </c>
      <c r="AC19" s="1">
        <f t="shared" si="1"/>
        <v>4.8949999999999996</v>
      </c>
    </row>
    <row r="20" spans="1:29" ht="12" customHeight="1" x14ac:dyDescent="0.2">
      <c r="A20" s="1">
        <v>1943</v>
      </c>
      <c r="B20" s="1">
        <v>0.43</v>
      </c>
      <c r="C20" s="1">
        <v>0.14000000000000001</v>
      </c>
      <c r="D20" s="1">
        <v>0.97</v>
      </c>
      <c r="E20" s="1">
        <v>0.49</v>
      </c>
      <c r="F20" s="1">
        <v>1.29</v>
      </c>
      <c r="G20" s="1">
        <v>2.39</v>
      </c>
      <c r="H20" s="1">
        <v>2.74</v>
      </c>
      <c r="I20" s="1">
        <v>0.91</v>
      </c>
      <c r="J20" s="1">
        <v>0.91</v>
      </c>
      <c r="K20" s="1">
        <v>0.88</v>
      </c>
      <c r="L20" s="1">
        <v>0.89</v>
      </c>
      <c r="M20" s="1">
        <v>2.02</v>
      </c>
      <c r="N20" s="10">
        <f t="shared" si="0"/>
        <v>14.060000000000002</v>
      </c>
      <c r="P20" s="16">
        <f t="shared" si="6"/>
        <v>88.150470219435746</v>
      </c>
      <c r="Q20" s="1">
        <v>1943</v>
      </c>
      <c r="R20" s="9">
        <f t="shared" si="7"/>
        <v>8.1850000000000005</v>
      </c>
      <c r="T20" s="6">
        <f t="shared" si="5"/>
        <v>94.29723502304148</v>
      </c>
      <c r="U20" s="9">
        <f t="shared" si="9"/>
        <v>14.255000000000001</v>
      </c>
      <c r="V20" s="6"/>
      <c r="W20" s="6">
        <f t="shared" si="8"/>
        <v>92.926988265971318</v>
      </c>
      <c r="X20" s="6"/>
      <c r="Y20" s="5">
        <f t="shared" si="2"/>
        <v>5.7100000000000009</v>
      </c>
      <c r="Z20" s="5">
        <f t="shared" si="3"/>
        <v>3.79</v>
      </c>
      <c r="AB20" s="1">
        <f t="shared" si="4"/>
        <v>9.3600000000000012</v>
      </c>
      <c r="AC20" s="1">
        <f t="shared" si="1"/>
        <v>4.7</v>
      </c>
    </row>
    <row r="21" spans="1:29" ht="12" customHeight="1" x14ac:dyDescent="0.2">
      <c r="A21" s="1">
        <v>1944</v>
      </c>
      <c r="B21" s="1">
        <v>0.66</v>
      </c>
      <c r="C21" s="1">
        <v>0.56000000000000005</v>
      </c>
      <c r="D21" s="1">
        <v>0.8</v>
      </c>
      <c r="E21" s="1">
        <v>1.28</v>
      </c>
      <c r="F21" s="1">
        <v>1.29</v>
      </c>
      <c r="G21" s="1">
        <v>0.23</v>
      </c>
      <c r="H21" s="1">
        <v>2.74</v>
      </c>
      <c r="I21" s="1">
        <v>3.1</v>
      </c>
      <c r="J21" s="1">
        <v>1.17</v>
      </c>
      <c r="K21" s="1">
        <v>4.4000000000000004</v>
      </c>
      <c r="L21" s="1">
        <v>1.04</v>
      </c>
      <c r="M21" s="1">
        <v>1.04</v>
      </c>
      <c r="N21" s="10">
        <f t="shared" si="0"/>
        <v>18.310000000000002</v>
      </c>
      <c r="P21" s="16">
        <f t="shared" si="6"/>
        <v>114.79623824451413</v>
      </c>
      <c r="Q21" s="1">
        <v>1944</v>
      </c>
      <c r="R21" s="9">
        <f t="shared" si="7"/>
        <v>8.6100000000000012</v>
      </c>
      <c r="T21" s="6">
        <f t="shared" si="5"/>
        <v>99.193548387096783</v>
      </c>
      <c r="U21" s="9">
        <f t="shared" si="9"/>
        <v>15.360000000000003</v>
      </c>
      <c r="V21" s="6"/>
      <c r="W21" s="6">
        <f t="shared" si="8"/>
        <v>100.13037809647982</v>
      </c>
      <c r="X21" s="6"/>
      <c r="Y21" s="5">
        <f t="shared" si="2"/>
        <v>4.8200000000000012</v>
      </c>
      <c r="Z21" s="5">
        <f t="shared" si="3"/>
        <v>6.48</v>
      </c>
      <c r="AB21" s="1">
        <f t="shared" si="4"/>
        <v>10.660000000000002</v>
      </c>
      <c r="AC21" s="1">
        <f t="shared" si="1"/>
        <v>7.65</v>
      </c>
    </row>
    <row r="22" spans="1:29" ht="12" customHeight="1" x14ac:dyDescent="0.2">
      <c r="A22" s="1">
        <v>1945</v>
      </c>
      <c r="B22" s="1">
        <v>1.72</v>
      </c>
      <c r="C22" s="1">
        <v>0.06</v>
      </c>
      <c r="D22" s="1">
        <v>1.2</v>
      </c>
      <c r="E22" s="1">
        <v>1.95</v>
      </c>
      <c r="F22" s="1">
        <v>0.02</v>
      </c>
      <c r="G22" s="1">
        <v>0.19</v>
      </c>
      <c r="H22" s="1">
        <v>1.23</v>
      </c>
      <c r="I22" s="1">
        <v>2.5099999999999998</v>
      </c>
      <c r="J22" s="1">
        <v>1.32</v>
      </c>
      <c r="K22" s="1">
        <v>0.57999999999999996</v>
      </c>
      <c r="L22" s="1">
        <v>5.0000000000000001E-3</v>
      </c>
      <c r="M22" s="1">
        <v>0.8</v>
      </c>
      <c r="N22" s="10">
        <f t="shared" si="0"/>
        <v>11.585000000000001</v>
      </c>
      <c r="P22" s="16">
        <f t="shared" si="6"/>
        <v>72.633228840125398</v>
      </c>
      <c r="Q22" s="1">
        <v>1945</v>
      </c>
      <c r="R22" s="9">
        <f t="shared" si="7"/>
        <v>11.620000000000001</v>
      </c>
      <c r="T22" s="6">
        <f t="shared" si="5"/>
        <v>133.87096774193549</v>
      </c>
      <c r="U22" s="9">
        <f t="shared" si="9"/>
        <v>16.53</v>
      </c>
      <c r="V22" s="6"/>
      <c r="W22" s="6">
        <f t="shared" si="8"/>
        <v>107.75749674054759</v>
      </c>
      <c r="X22" s="6"/>
      <c r="Y22" s="5">
        <f t="shared" si="2"/>
        <v>5.14</v>
      </c>
      <c r="Z22" s="5">
        <f t="shared" si="3"/>
        <v>1.385</v>
      </c>
      <c r="AB22" s="1">
        <f t="shared" si="4"/>
        <v>8.879999999999999</v>
      </c>
      <c r="AC22" s="1">
        <f t="shared" si="1"/>
        <v>2.7050000000000001</v>
      </c>
    </row>
    <row r="23" spans="1:29" ht="12" customHeight="1" x14ac:dyDescent="0.2">
      <c r="A23" s="1">
        <v>1946</v>
      </c>
      <c r="B23" s="1">
        <v>0.19</v>
      </c>
      <c r="C23" s="1">
        <v>0.45</v>
      </c>
      <c r="D23" s="1">
        <v>0.8</v>
      </c>
      <c r="E23" s="1">
        <v>0.08</v>
      </c>
      <c r="F23" s="1">
        <v>0.51</v>
      </c>
      <c r="G23" s="1">
        <v>0.01</v>
      </c>
      <c r="H23" s="1">
        <v>1.77</v>
      </c>
      <c r="I23" s="1">
        <v>3.97</v>
      </c>
      <c r="J23" s="1">
        <v>0.44</v>
      </c>
      <c r="K23" s="1">
        <v>1.57</v>
      </c>
      <c r="L23" s="1">
        <v>0.8</v>
      </c>
      <c r="M23" s="1">
        <v>0.21</v>
      </c>
      <c r="N23" s="10">
        <f t="shared" si="0"/>
        <v>10.800000000000002</v>
      </c>
      <c r="O23" s="14"/>
      <c r="P23" s="16">
        <f t="shared" si="6"/>
        <v>67.711598746081521</v>
      </c>
      <c r="Q23" s="1">
        <v>1946</v>
      </c>
      <c r="R23" s="9">
        <f t="shared" si="7"/>
        <v>3.4249999999999998</v>
      </c>
      <c r="T23" s="6">
        <f t="shared" si="5"/>
        <v>39.458525345622121</v>
      </c>
      <c r="U23" s="9">
        <f t="shared" si="9"/>
        <v>10.484999999999999</v>
      </c>
      <c r="V23" s="6"/>
      <c r="W23" s="6">
        <f t="shared" si="8"/>
        <v>68.350717079530625</v>
      </c>
      <c r="X23" s="6"/>
      <c r="Y23" s="5">
        <f t="shared" si="2"/>
        <v>2.04</v>
      </c>
      <c r="Z23" s="5">
        <f t="shared" si="3"/>
        <v>2.58</v>
      </c>
      <c r="AB23" s="1">
        <f t="shared" si="4"/>
        <v>7.78</v>
      </c>
      <c r="AC23" s="1">
        <f t="shared" si="1"/>
        <v>3.0200000000000005</v>
      </c>
    </row>
    <row r="24" spans="1:29" ht="12" customHeight="1" x14ac:dyDescent="0.2">
      <c r="A24" s="1">
        <v>1947</v>
      </c>
      <c r="B24" s="1">
        <v>0.32</v>
      </c>
      <c r="C24" s="1">
        <v>0.38</v>
      </c>
      <c r="D24" s="1">
        <v>0.49</v>
      </c>
      <c r="E24" s="1">
        <v>0.1</v>
      </c>
      <c r="F24" s="1">
        <v>1.8</v>
      </c>
      <c r="G24" s="1">
        <v>0.08</v>
      </c>
      <c r="H24" s="1">
        <v>0.99</v>
      </c>
      <c r="I24" s="1">
        <v>4.54</v>
      </c>
      <c r="J24" s="1">
        <v>1.37</v>
      </c>
      <c r="K24" s="1">
        <v>0.56999999999999995</v>
      </c>
      <c r="L24" s="1">
        <v>0.74</v>
      </c>
      <c r="M24" s="1">
        <v>1.66</v>
      </c>
      <c r="N24" s="10">
        <f t="shared" si="0"/>
        <v>13.040000000000001</v>
      </c>
      <c r="P24" s="16">
        <f t="shared" si="6"/>
        <v>81.755485893416932</v>
      </c>
      <c r="Q24" s="1">
        <v>1947</v>
      </c>
      <c r="R24" s="9">
        <f t="shared" si="7"/>
        <v>5.75</v>
      </c>
      <c r="T24" s="6">
        <f t="shared" si="5"/>
        <v>66.244239631336413</v>
      </c>
      <c r="U24" s="9">
        <f t="shared" si="9"/>
        <v>11.719999999999999</v>
      </c>
      <c r="V24" s="6"/>
      <c r="W24" s="6">
        <f t="shared" si="8"/>
        <v>76.401564537157753</v>
      </c>
      <c r="X24" s="6"/>
      <c r="Y24" s="5">
        <f t="shared" si="2"/>
        <v>3.17</v>
      </c>
      <c r="Z24" s="5">
        <f t="shared" si="3"/>
        <v>2.9699999999999998</v>
      </c>
      <c r="AB24" s="1">
        <f t="shared" si="4"/>
        <v>8.6999999999999993</v>
      </c>
      <c r="AC24" s="1">
        <f t="shared" si="1"/>
        <v>4.34</v>
      </c>
    </row>
    <row r="25" spans="1:29" ht="12" customHeight="1" x14ac:dyDescent="0.2">
      <c r="A25" s="1">
        <v>1948</v>
      </c>
      <c r="B25" s="1">
        <v>0.41</v>
      </c>
      <c r="C25" s="1">
        <v>3.03</v>
      </c>
      <c r="D25" s="1">
        <v>1.5</v>
      </c>
      <c r="E25" s="1">
        <v>0.24</v>
      </c>
      <c r="F25" s="1">
        <v>1.83</v>
      </c>
      <c r="G25" s="1">
        <v>1.28</v>
      </c>
      <c r="H25" s="1">
        <v>1.52</v>
      </c>
      <c r="I25" s="1">
        <v>2.65</v>
      </c>
      <c r="J25" s="1">
        <v>1.02</v>
      </c>
      <c r="K25" s="1">
        <v>1.48</v>
      </c>
      <c r="L25" s="1">
        <v>5.0000000000000001E-3</v>
      </c>
      <c r="M25" s="1">
        <v>0.2</v>
      </c>
      <c r="N25" s="10">
        <f t="shared" si="0"/>
        <v>15.164999999999999</v>
      </c>
      <c r="P25" s="16">
        <f t="shared" si="6"/>
        <v>95.078369905956123</v>
      </c>
      <c r="Q25" s="1">
        <v>1948</v>
      </c>
      <c r="R25" s="9">
        <f t="shared" si="7"/>
        <v>11.259999999999998</v>
      </c>
      <c r="T25" s="6">
        <f t="shared" si="5"/>
        <v>129.72350230414744</v>
      </c>
      <c r="U25" s="9">
        <f t="shared" si="9"/>
        <v>16.799999999999997</v>
      </c>
      <c r="V25" s="6"/>
      <c r="W25" s="6">
        <f t="shared" si="8"/>
        <v>109.51760104302475</v>
      </c>
      <c r="X25" s="6"/>
      <c r="Y25" s="5">
        <f t="shared" si="2"/>
        <v>8.2899999999999991</v>
      </c>
      <c r="Z25" s="5">
        <f t="shared" si="3"/>
        <v>1.6849999999999998</v>
      </c>
      <c r="AB25" s="1">
        <f t="shared" si="4"/>
        <v>12.459999999999999</v>
      </c>
      <c r="AC25" s="1">
        <f t="shared" si="1"/>
        <v>2.7050000000000001</v>
      </c>
    </row>
    <row r="26" spans="1:29" ht="12" customHeight="1" x14ac:dyDescent="0.2">
      <c r="A26" s="1">
        <v>1949</v>
      </c>
      <c r="B26" s="1">
        <v>3.11</v>
      </c>
      <c r="C26" s="1">
        <v>0.83</v>
      </c>
      <c r="D26" s="1">
        <v>0.84</v>
      </c>
      <c r="E26" s="1">
        <v>1.29</v>
      </c>
      <c r="F26" s="1">
        <v>1.99</v>
      </c>
      <c r="G26" s="1">
        <v>2.41</v>
      </c>
      <c r="H26" s="1">
        <v>5.29</v>
      </c>
      <c r="I26" s="1">
        <v>1.06</v>
      </c>
      <c r="J26" s="1">
        <v>1.46</v>
      </c>
      <c r="K26" s="1">
        <v>0.12</v>
      </c>
      <c r="L26" s="1">
        <v>5.0000000000000001E-3</v>
      </c>
      <c r="M26" s="1">
        <v>0.61</v>
      </c>
      <c r="N26" s="10">
        <f t="shared" si="0"/>
        <v>19.015000000000001</v>
      </c>
      <c r="P26" s="16">
        <f t="shared" si="6"/>
        <v>119.21630094043888</v>
      </c>
      <c r="Q26" s="1">
        <v>1949</v>
      </c>
      <c r="R26" s="9">
        <f t="shared" si="7"/>
        <v>12.155000000000001</v>
      </c>
      <c r="T26" s="6">
        <f t="shared" si="5"/>
        <v>140.03456221198158</v>
      </c>
      <c r="U26" s="9">
        <f t="shared" si="9"/>
        <v>19.524999999999999</v>
      </c>
      <c r="V26" s="6"/>
      <c r="W26" s="6">
        <f t="shared" si="8"/>
        <v>127.28161668839635</v>
      </c>
      <c r="X26" s="6"/>
      <c r="Y26" s="5">
        <f t="shared" si="2"/>
        <v>10.47</v>
      </c>
      <c r="Z26" s="5">
        <f t="shared" si="3"/>
        <v>0.73499999999999999</v>
      </c>
      <c r="AB26" s="1">
        <f t="shared" si="4"/>
        <v>16.82</v>
      </c>
      <c r="AC26" s="1">
        <f t="shared" si="1"/>
        <v>2.1949999999999998</v>
      </c>
    </row>
    <row r="27" spans="1:29" ht="12" customHeight="1" x14ac:dyDescent="0.2">
      <c r="A27" s="1">
        <v>1950</v>
      </c>
      <c r="B27" s="1">
        <v>0.28000000000000003</v>
      </c>
      <c r="C27" s="1">
        <v>0.47</v>
      </c>
      <c r="D27" s="1">
        <v>0.04</v>
      </c>
      <c r="E27" s="1">
        <v>0.85</v>
      </c>
      <c r="F27" s="1">
        <v>0.05</v>
      </c>
      <c r="G27" s="1">
        <v>0.68</v>
      </c>
      <c r="H27" s="1">
        <v>4.12</v>
      </c>
      <c r="I27" s="1">
        <v>1.05</v>
      </c>
      <c r="J27" s="1">
        <v>1.32</v>
      </c>
      <c r="K27" s="1">
        <v>0.01</v>
      </c>
      <c r="L27" s="1">
        <v>0</v>
      </c>
      <c r="M27" s="1">
        <v>0.11</v>
      </c>
      <c r="N27" s="10">
        <f t="shared" si="0"/>
        <v>8.9799999999999986</v>
      </c>
      <c r="P27" s="16">
        <f t="shared" si="6"/>
        <v>56.300940438871471</v>
      </c>
      <c r="Q27" s="1">
        <v>1950</v>
      </c>
      <c r="R27" s="19">
        <f t="shared" si="7"/>
        <v>3.105</v>
      </c>
      <c r="T27" s="6">
        <f t="shared" si="5"/>
        <v>35.771889400921658</v>
      </c>
      <c r="U27" s="19">
        <f t="shared" si="9"/>
        <v>9.7349999999999994</v>
      </c>
      <c r="V27" s="6"/>
      <c r="W27" s="6">
        <f t="shared" si="8"/>
        <v>63.46153846153846</v>
      </c>
      <c r="X27" s="6"/>
      <c r="Y27" s="5">
        <f t="shared" si="2"/>
        <v>2.37</v>
      </c>
      <c r="Z27" s="5">
        <f t="shared" si="3"/>
        <v>0.12</v>
      </c>
      <c r="AB27" s="1">
        <f t="shared" si="4"/>
        <v>7.54</v>
      </c>
      <c r="AC27" s="1">
        <f t="shared" si="1"/>
        <v>1.4400000000000002</v>
      </c>
    </row>
    <row r="28" spans="1:29" ht="12" customHeight="1" x14ac:dyDescent="0.2">
      <c r="A28" s="1">
        <v>1951</v>
      </c>
      <c r="B28" s="1">
        <v>0.88</v>
      </c>
      <c r="C28" s="1">
        <v>0.56999999999999995</v>
      </c>
      <c r="D28" s="1">
        <v>0.08</v>
      </c>
      <c r="E28" s="1">
        <v>0.93</v>
      </c>
      <c r="F28" s="1">
        <v>0.53</v>
      </c>
      <c r="G28" s="1">
        <v>0.08</v>
      </c>
      <c r="H28" s="1">
        <v>3.45</v>
      </c>
      <c r="I28" s="1">
        <v>4.72</v>
      </c>
      <c r="J28" s="1">
        <v>0.75</v>
      </c>
      <c r="K28" s="1">
        <v>1.24</v>
      </c>
      <c r="L28" s="1">
        <v>0.57999999999999996</v>
      </c>
      <c r="M28" s="1">
        <v>0.62</v>
      </c>
      <c r="N28" s="10">
        <f t="shared" si="0"/>
        <v>14.43</v>
      </c>
      <c r="P28" s="16">
        <f t="shared" si="6"/>
        <v>90.470219435736681</v>
      </c>
      <c r="Q28" s="1">
        <v>1951</v>
      </c>
      <c r="R28" s="19">
        <f t="shared" si="7"/>
        <v>3.1900000000000004</v>
      </c>
      <c r="T28" s="6">
        <f t="shared" si="5"/>
        <v>36.751152073732726</v>
      </c>
      <c r="U28" s="19">
        <f t="shared" si="9"/>
        <v>12.68</v>
      </c>
      <c r="V28" s="6"/>
      <c r="W28" s="6">
        <f t="shared" si="8"/>
        <v>82.65971316818775</v>
      </c>
      <c r="X28" s="6"/>
      <c r="Y28" s="5">
        <f t="shared" si="2"/>
        <v>3.0700000000000003</v>
      </c>
      <c r="Z28" s="5">
        <f t="shared" si="3"/>
        <v>2.44</v>
      </c>
      <c r="AB28" s="1">
        <f t="shared" si="4"/>
        <v>11.24</v>
      </c>
      <c r="AC28" s="1">
        <f t="shared" si="1"/>
        <v>3.19</v>
      </c>
    </row>
    <row r="29" spans="1:29" ht="12" customHeight="1" x14ac:dyDescent="0.2">
      <c r="A29" s="1">
        <v>1952</v>
      </c>
      <c r="B29" s="1">
        <v>1.36</v>
      </c>
      <c r="C29" s="1">
        <v>0.15</v>
      </c>
      <c r="D29" s="1">
        <v>0.65</v>
      </c>
      <c r="E29" s="1">
        <v>0.87</v>
      </c>
      <c r="F29" s="1">
        <v>2.25</v>
      </c>
      <c r="G29" s="1">
        <v>0.63</v>
      </c>
      <c r="H29" s="1">
        <v>3.78</v>
      </c>
      <c r="I29" s="1">
        <v>3.16</v>
      </c>
      <c r="J29" s="1">
        <v>0.84</v>
      </c>
      <c r="K29" s="1">
        <v>0</v>
      </c>
      <c r="L29" s="1">
        <v>1.68</v>
      </c>
      <c r="M29" s="1">
        <v>0.73</v>
      </c>
      <c r="N29" s="10">
        <f t="shared" si="0"/>
        <v>16.099999999999998</v>
      </c>
      <c r="P29" s="16">
        <f t="shared" si="6"/>
        <v>100.94043887147335</v>
      </c>
      <c r="Q29" s="1">
        <v>1952</v>
      </c>
      <c r="R29" s="19">
        <f t="shared" si="7"/>
        <v>8.35</v>
      </c>
      <c r="T29" s="6">
        <f t="shared" si="5"/>
        <v>96.198156682027644</v>
      </c>
      <c r="U29" s="19">
        <f t="shared" si="9"/>
        <v>16.04</v>
      </c>
      <c r="V29" s="6"/>
      <c r="W29" s="6">
        <f t="shared" si="8"/>
        <v>104.5632333767927</v>
      </c>
      <c r="X29" s="6"/>
      <c r="Y29" s="5">
        <f t="shared" si="2"/>
        <v>5.91</v>
      </c>
      <c r="Z29" s="5">
        <f t="shared" si="3"/>
        <v>2.41</v>
      </c>
      <c r="AB29" s="1">
        <f t="shared" si="4"/>
        <v>12.85</v>
      </c>
      <c r="AC29" s="1">
        <f t="shared" si="1"/>
        <v>3.25</v>
      </c>
    </row>
    <row r="30" spans="1:29" ht="12" customHeight="1" x14ac:dyDescent="0.2">
      <c r="A30" s="1">
        <v>1953</v>
      </c>
      <c r="B30" s="1">
        <v>0.09</v>
      </c>
      <c r="C30" s="1">
        <v>0.94</v>
      </c>
      <c r="D30" s="1">
        <v>0.74</v>
      </c>
      <c r="E30" s="1">
        <v>0.28999999999999998</v>
      </c>
      <c r="F30" s="1">
        <v>1.2</v>
      </c>
      <c r="G30" s="1">
        <v>0.76</v>
      </c>
      <c r="H30" s="1">
        <v>2.93</v>
      </c>
      <c r="I30" s="1">
        <v>1.51</v>
      </c>
      <c r="J30" s="1">
        <v>0.35</v>
      </c>
      <c r="K30" s="1">
        <v>2.04</v>
      </c>
      <c r="L30" s="1">
        <v>2.56</v>
      </c>
      <c r="M30" s="1">
        <v>0.59</v>
      </c>
      <c r="N30" s="10">
        <f t="shared" si="0"/>
        <v>13.999999999999998</v>
      </c>
      <c r="O30" s="14"/>
      <c r="P30" s="16">
        <f t="shared" si="6"/>
        <v>87.774294670846388</v>
      </c>
      <c r="Q30" s="1">
        <v>1953</v>
      </c>
      <c r="R30" s="19">
        <f t="shared" si="7"/>
        <v>6.43</v>
      </c>
      <c r="T30" s="6">
        <f t="shared" si="5"/>
        <v>74.078341013824883</v>
      </c>
      <c r="U30" s="19">
        <f t="shared" si="9"/>
        <v>11.709999999999999</v>
      </c>
      <c r="V30" s="6"/>
      <c r="W30" s="6">
        <f t="shared" si="8"/>
        <v>76.336375488917852</v>
      </c>
      <c r="X30" s="6"/>
      <c r="Y30" s="5">
        <f t="shared" si="2"/>
        <v>4.0199999999999996</v>
      </c>
      <c r="Z30" s="5">
        <f t="shared" si="3"/>
        <v>5.1899999999999995</v>
      </c>
      <c r="AB30" s="1">
        <f t="shared" si="4"/>
        <v>8.4599999999999991</v>
      </c>
      <c r="AC30" s="1">
        <f t="shared" si="1"/>
        <v>5.54</v>
      </c>
    </row>
    <row r="31" spans="1:29" ht="12" customHeight="1" x14ac:dyDescent="0.2">
      <c r="A31" s="1">
        <v>1954</v>
      </c>
      <c r="B31" s="1">
        <v>0.88</v>
      </c>
      <c r="C31" s="1">
        <v>0.03</v>
      </c>
      <c r="D31" s="1">
        <v>1.41</v>
      </c>
      <c r="E31" s="1">
        <v>5.0000000000000001E-3</v>
      </c>
      <c r="F31" s="1">
        <v>2.2000000000000002</v>
      </c>
      <c r="G31" s="1">
        <v>0.11</v>
      </c>
      <c r="H31" s="1">
        <v>4</v>
      </c>
      <c r="I31" s="1">
        <v>1.73</v>
      </c>
      <c r="J31" s="1">
        <v>0.7</v>
      </c>
      <c r="K31" s="1">
        <v>0.27</v>
      </c>
      <c r="L31" s="1">
        <v>7.0000000000000007E-2</v>
      </c>
      <c r="M31" s="1">
        <v>0.38</v>
      </c>
      <c r="N31" s="10">
        <f t="shared" si="0"/>
        <v>11.785000000000002</v>
      </c>
      <c r="P31" s="16">
        <f t="shared" si="6"/>
        <v>73.887147335423208</v>
      </c>
      <c r="Q31" s="1">
        <v>1954</v>
      </c>
      <c r="R31" s="19">
        <f t="shared" si="7"/>
        <v>9.8249999999999993</v>
      </c>
      <c r="T31" s="6">
        <f t="shared" si="5"/>
        <v>113.19124423963135</v>
      </c>
      <c r="U31" s="19">
        <f t="shared" si="9"/>
        <v>15.905000000000001</v>
      </c>
      <c r="V31" s="6"/>
      <c r="W31" s="6">
        <f t="shared" si="8"/>
        <v>103.68318122555411</v>
      </c>
      <c r="X31" s="6"/>
      <c r="Y31" s="5">
        <f t="shared" si="2"/>
        <v>4.6350000000000007</v>
      </c>
      <c r="Z31" s="5">
        <f t="shared" si="3"/>
        <v>0.72</v>
      </c>
      <c r="AB31" s="1">
        <f t="shared" si="4"/>
        <v>10.365000000000002</v>
      </c>
      <c r="AC31" s="1">
        <f t="shared" si="1"/>
        <v>1.42</v>
      </c>
    </row>
    <row r="32" spans="1:29" ht="12" customHeight="1" x14ac:dyDescent="0.2">
      <c r="A32" s="1">
        <v>1955</v>
      </c>
      <c r="B32" s="1">
        <v>0.38</v>
      </c>
      <c r="C32" s="1">
        <v>0.45</v>
      </c>
      <c r="D32" s="1">
        <v>0.06</v>
      </c>
      <c r="E32" s="1">
        <v>0.41</v>
      </c>
      <c r="F32" s="1">
        <v>1.61</v>
      </c>
      <c r="G32" s="1">
        <v>0.2</v>
      </c>
      <c r="H32" s="1">
        <v>1.68</v>
      </c>
      <c r="I32" s="1">
        <v>3.04</v>
      </c>
      <c r="J32" s="1">
        <v>0.7</v>
      </c>
      <c r="K32" s="1">
        <v>5.0000000000000001E-3</v>
      </c>
      <c r="L32" s="1">
        <v>0.12</v>
      </c>
      <c r="M32" s="1">
        <v>0.98</v>
      </c>
      <c r="N32" s="10">
        <f t="shared" si="0"/>
        <v>9.6349999999999998</v>
      </c>
      <c r="P32" s="16">
        <f t="shared" si="6"/>
        <v>60.407523510971785</v>
      </c>
      <c r="Q32" s="1">
        <v>1955</v>
      </c>
      <c r="R32" s="19">
        <f t="shared" si="7"/>
        <v>3.83</v>
      </c>
      <c r="T32" s="6">
        <f t="shared" si="5"/>
        <v>44.124423963133644</v>
      </c>
      <c r="U32" s="19">
        <f t="shared" si="9"/>
        <v>9.25</v>
      </c>
      <c r="V32" s="6"/>
      <c r="W32" s="6">
        <f t="shared" si="8"/>
        <v>60.299869621903525</v>
      </c>
      <c r="X32" s="6"/>
      <c r="Y32" s="5">
        <f t="shared" si="2"/>
        <v>3.1100000000000003</v>
      </c>
      <c r="Z32" s="5">
        <f t="shared" si="3"/>
        <v>1.105</v>
      </c>
      <c r="AB32" s="1">
        <f t="shared" si="4"/>
        <v>7.83</v>
      </c>
      <c r="AC32" s="1">
        <f t="shared" si="1"/>
        <v>1.8049999999999999</v>
      </c>
    </row>
    <row r="33" spans="1:29" ht="12" customHeight="1" x14ac:dyDescent="0.2">
      <c r="A33" s="1">
        <v>1956</v>
      </c>
      <c r="B33" s="1">
        <v>1.17</v>
      </c>
      <c r="C33" s="1">
        <v>0.6</v>
      </c>
      <c r="D33" s="1">
        <v>0</v>
      </c>
      <c r="E33" s="1">
        <v>0.04</v>
      </c>
      <c r="F33" s="1">
        <v>0.68</v>
      </c>
      <c r="G33" s="1">
        <v>0.44</v>
      </c>
      <c r="H33" s="1">
        <v>0.7</v>
      </c>
      <c r="I33" s="1">
        <v>1.03</v>
      </c>
      <c r="J33" s="1">
        <v>0</v>
      </c>
      <c r="K33" s="1">
        <v>0.26</v>
      </c>
      <c r="L33" s="1">
        <v>0.02</v>
      </c>
      <c r="M33" s="1">
        <v>5.0000000000000001E-3</v>
      </c>
      <c r="N33" s="10">
        <f t="shared" si="0"/>
        <v>4.9449999999999994</v>
      </c>
      <c r="P33" s="16">
        <f t="shared" si="6"/>
        <v>31.003134796238243</v>
      </c>
      <c r="Q33" s="1">
        <v>1956</v>
      </c>
      <c r="R33" s="19">
        <f t="shared" si="7"/>
        <v>4.0350000000000001</v>
      </c>
      <c r="T33" s="6">
        <f t="shared" si="5"/>
        <v>46.486175115207381</v>
      </c>
      <c r="U33" s="19">
        <f t="shared" si="9"/>
        <v>6.4649999999999999</v>
      </c>
      <c r="V33" s="6"/>
      <c r="W33" s="6">
        <f t="shared" si="8"/>
        <v>42.144719687092568</v>
      </c>
      <c r="X33" s="6"/>
      <c r="Y33" s="5">
        <f t="shared" si="2"/>
        <v>2.93</v>
      </c>
      <c r="Z33" s="5">
        <f t="shared" si="3"/>
        <v>0.28500000000000003</v>
      </c>
      <c r="AB33" s="1">
        <f t="shared" si="4"/>
        <v>4.66</v>
      </c>
      <c r="AC33" s="1">
        <f t="shared" si="1"/>
        <v>0.28500000000000003</v>
      </c>
    </row>
    <row r="34" spans="1:29" ht="12" customHeight="1" x14ac:dyDescent="0.2">
      <c r="A34" s="1">
        <v>1957</v>
      </c>
      <c r="B34" s="1">
        <v>1.17</v>
      </c>
      <c r="C34" s="1">
        <v>0.71</v>
      </c>
      <c r="D34" s="1">
        <v>1.4</v>
      </c>
      <c r="E34" s="1">
        <v>1.29</v>
      </c>
      <c r="F34" s="1">
        <v>1.05</v>
      </c>
      <c r="G34" s="1">
        <v>0.42</v>
      </c>
      <c r="H34" s="1">
        <v>3.15</v>
      </c>
      <c r="I34" s="1">
        <v>4.5</v>
      </c>
      <c r="J34" s="1">
        <v>0.06</v>
      </c>
      <c r="K34" s="1">
        <v>4.96</v>
      </c>
      <c r="L34" s="1">
        <v>2.35</v>
      </c>
      <c r="M34" s="1">
        <v>0.16</v>
      </c>
      <c r="N34" s="10">
        <f t="shared" si="0"/>
        <v>21.220000000000002</v>
      </c>
      <c r="P34" s="16">
        <f t="shared" si="6"/>
        <v>133.04075235109721</v>
      </c>
      <c r="Q34" s="1">
        <v>1957</v>
      </c>
      <c r="R34" s="19">
        <f t="shared" si="7"/>
        <v>6.3250000000000002</v>
      </c>
      <c r="T34" s="6">
        <f t="shared" si="5"/>
        <v>72.86866359447005</v>
      </c>
      <c r="U34" s="9">
        <f t="shared" si="9"/>
        <v>13.975</v>
      </c>
      <c r="V34" s="6"/>
      <c r="W34" s="6">
        <f t="shared" si="8"/>
        <v>91.101694915254242</v>
      </c>
      <c r="X34" s="6"/>
      <c r="Y34" s="5">
        <f t="shared" si="2"/>
        <v>6.04</v>
      </c>
      <c r="Z34" s="5">
        <f t="shared" si="3"/>
        <v>7.4700000000000006</v>
      </c>
      <c r="AB34" s="1">
        <f t="shared" si="4"/>
        <v>13.69</v>
      </c>
      <c r="AC34" s="1">
        <f t="shared" si="1"/>
        <v>7.5299999999999994</v>
      </c>
    </row>
    <row r="35" spans="1:29" ht="12" customHeight="1" x14ac:dyDescent="0.2">
      <c r="A35" s="1">
        <v>1958</v>
      </c>
      <c r="B35" s="1">
        <v>0.84</v>
      </c>
      <c r="C35" s="1">
        <v>0.34</v>
      </c>
      <c r="D35" s="1">
        <v>1.72</v>
      </c>
      <c r="E35" s="1">
        <v>1.5</v>
      </c>
      <c r="F35" s="1">
        <v>1.65</v>
      </c>
      <c r="G35" s="1">
        <v>0.39</v>
      </c>
      <c r="H35" s="1">
        <v>0.52</v>
      </c>
      <c r="I35" s="1">
        <v>2.36</v>
      </c>
      <c r="J35" s="1">
        <v>4.91</v>
      </c>
      <c r="K35" s="1">
        <v>0.99</v>
      </c>
      <c r="L35" s="1">
        <v>0.68</v>
      </c>
      <c r="M35" s="1">
        <v>0.69</v>
      </c>
      <c r="N35" s="10">
        <f t="shared" si="0"/>
        <v>16.59</v>
      </c>
      <c r="P35" s="16">
        <f t="shared" si="6"/>
        <v>104.01253918495298</v>
      </c>
      <c r="Q35" s="1">
        <v>1958</v>
      </c>
      <c r="R35" s="9">
        <f t="shared" si="7"/>
        <v>13.91</v>
      </c>
      <c r="T35" s="6">
        <f t="shared" si="5"/>
        <v>160.25345622119815</v>
      </c>
      <c r="U35" s="9">
        <f t="shared" si="9"/>
        <v>16.850000000000001</v>
      </c>
      <c r="V35" s="6"/>
      <c r="W35" s="6">
        <f t="shared" si="8"/>
        <v>109.84354628422426</v>
      </c>
      <c r="X35" s="6"/>
      <c r="Y35" s="5">
        <f t="shared" si="2"/>
        <v>6.44</v>
      </c>
      <c r="Z35" s="5">
        <f t="shared" si="3"/>
        <v>2.36</v>
      </c>
      <c r="AB35" s="1">
        <f t="shared" si="4"/>
        <v>9.32</v>
      </c>
      <c r="AC35" s="1">
        <f t="shared" si="1"/>
        <v>7.27</v>
      </c>
    </row>
    <row r="36" spans="1:29" ht="12" customHeight="1" x14ac:dyDescent="0.2">
      <c r="A36" s="1">
        <v>1959</v>
      </c>
      <c r="B36" s="1">
        <v>0.14000000000000001</v>
      </c>
      <c r="C36" s="1">
        <v>0.48</v>
      </c>
      <c r="D36" s="1">
        <v>0.68</v>
      </c>
      <c r="E36" s="1">
        <v>1.01</v>
      </c>
      <c r="F36" s="1">
        <v>1.93</v>
      </c>
      <c r="G36" s="1">
        <v>2.36</v>
      </c>
      <c r="H36" s="1">
        <v>2.25</v>
      </c>
      <c r="I36" s="1">
        <v>6.48</v>
      </c>
      <c r="J36" s="1">
        <v>0.16</v>
      </c>
      <c r="K36" s="1">
        <v>3.31</v>
      </c>
      <c r="L36" s="1">
        <v>0.47</v>
      </c>
      <c r="M36" s="1">
        <v>1.2</v>
      </c>
      <c r="N36" s="10">
        <f t="shared" si="0"/>
        <v>20.47</v>
      </c>
      <c r="P36" s="16">
        <f t="shared" si="6"/>
        <v>128.3385579937304</v>
      </c>
      <c r="Q36" s="1">
        <v>1959</v>
      </c>
      <c r="R36" s="9">
        <f t="shared" si="7"/>
        <v>8.9599999999999991</v>
      </c>
      <c r="T36" s="6">
        <f t="shared" si="5"/>
        <v>103.2258064516129</v>
      </c>
      <c r="U36" s="9">
        <f t="shared" si="9"/>
        <v>22.6</v>
      </c>
      <c r="V36" s="6"/>
      <c r="W36" s="6">
        <f t="shared" si="8"/>
        <v>147.3272490221643</v>
      </c>
      <c r="X36" s="6"/>
      <c r="Y36" s="5">
        <f t="shared" si="2"/>
        <v>6.6</v>
      </c>
      <c r="Z36" s="5">
        <f t="shared" si="3"/>
        <v>4.9800000000000004</v>
      </c>
      <c r="AB36" s="1">
        <f t="shared" si="4"/>
        <v>15.33</v>
      </c>
      <c r="AC36" s="1">
        <f t="shared" si="1"/>
        <v>5.1400000000000006</v>
      </c>
    </row>
    <row r="37" spans="1:29" ht="12" customHeight="1" x14ac:dyDescent="0.2">
      <c r="A37" s="1">
        <v>1960</v>
      </c>
      <c r="B37" s="1">
        <v>1.36</v>
      </c>
      <c r="C37" s="1">
        <v>1.42</v>
      </c>
      <c r="D37" s="1">
        <v>1.21</v>
      </c>
      <c r="E37" s="1">
        <v>5.0000000000000001E-3</v>
      </c>
      <c r="F37" s="1">
        <v>0.48</v>
      </c>
      <c r="G37" s="1">
        <v>0.94</v>
      </c>
      <c r="H37" s="1">
        <v>2.5</v>
      </c>
      <c r="I37" s="1">
        <v>1.72</v>
      </c>
      <c r="J37" s="1">
        <v>2.34</v>
      </c>
      <c r="K37" s="1">
        <v>3.5</v>
      </c>
      <c r="L37" s="1">
        <v>0.56000000000000005</v>
      </c>
      <c r="M37" s="1">
        <v>1.23</v>
      </c>
      <c r="N37" s="10">
        <f t="shared" si="0"/>
        <v>17.265000000000001</v>
      </c>
      <c r="P37" s="16">
        <f t="shared" si="6"/>
        <v>108.2445141065831</v>
      </c>
      <c r="Q37" s="1">
        <v>1960</v>
      </c>
      <c r="R37" s="9">
        <f t="shared" si="7"/>
        <v>10.395</v>
      </c>
      <c r="T37" s="6">
        <f t="shared" si="5"/>
        <v>119.75806451612902</v>
      </c>
      <c r="U37" s="9">
        <f t="shared" si="9"/>
        <v>14.775</v>
      </c>
      <c r="V37" s="6"/>
      <c r="W37" s="6">
        <f t="shared" si="8"/>
        <v>96.316818774445906</v>
      </c>
      <c r="X37" s="6"/>
      <c r="Y37" s="5">
        <f t="shared" si="2"/>
        <v>5.4149999999999991</v>
      </c>
      <c r="Z37" s="5">
        <f t="shared" si="3"/>
        <v>5.2900000000000009</v>
      </c>
      <c r="AB37" s="1">
        <f t="shared" si="4"/>
        <v>9.6349999999999998</v>
      </c>
      <c r="AC37" s="1">
        <f t="shared" ref="AC37:AC68" si="10">SUM(J37:M37)</f>
        <v>7.6300000000000008</v>
      </c>
    </row>
    <row r="38" spans="1:29" ht="12" customHeight="1" x14ac:dyDescent="0.2">
      <c r="A38" s="1">
        <v>1961</v>
      </c>
      <c r="B38" s="1">
        <v>0.95</v>
      </c>
      <c r="C38" s="1">
        <v>0.48</v>
      </c>
      <c r="D38" s="1">
        <v>1.42</v>
      </c>
      <c r="E38" s="1">
        <v>1.03</v>
      </c>
      <c r="F38" s="1">
        <v>0.01</v>
      </c>
      <c r="G38" s="1">
        <v>0.4</v>
      </c>
      <c r="H38" s="1">
        <v>1.36</v>
      </c>
      <c r="I38" s="1">
        <v>5.01</v>
      </c>
      <c r="J38" s="1">
        <v>1.07</v>
      </c>
      <c r="K38" s="1">
        <v>1.26</v>
      </c>
      <c r="L38" s="1">
        <v>0.78</v>
      </c>
      <c r="M38" s="1">
        <v>1.86</v>
      </c>
      <c r="N38" s="10">
        <f t="shared" si="0"/>
        <v>15.629999999999999</v>
      </c>
      <c r="P38" s="16">
        <f t="shared" si="6"/>
        <v>97.993730407523501</v>
      </c>
      <c r="Q38" s="1">
        <v>1961</v>
      </c>
      <c r="R38" s="9">
        <f t="shared" si="7"/>
        <v>9.5800000000000018</v>
      </c>
      <c r="T38" s="6">
        <f t="shared" si="5"/>
        <v>110.36866359447006</v>
      </c>
      <c r="U38" s="9">
        <f t="shared" si="9"/>
        <v>18.29</v>
      </c>
      <c r="V38" s="6"/>
      <c r="W38" s="6">
        <f t="shared" si="8"/>
        <v>119.23076923076923</v>
      </c>
      <c r="X38" s="6"/>
      <c r="Y38" s="5">
        <f t="shared" si="2"/>
        <v>4.29</v>
      </c>
      <c r="Z38" s="5">
        <f t="shared" si="3"/>
        <v>3.9000000000000004</v>
      </c>
      <c r="AB38" s="1">
        <f t="shared" si="4"/>
        <v>10.66</v>
      </c>
      <c r="AC38" s="1">
        <f t="shared" si="10"/>
        <v>4.9700000000000006</v>
      </c>
    </row>
    <row r="39" spans="1:29" ht="12" customHeight="1" x14ac:dyDescent="0.2">
      <c r="A39" s="1">
        <v>1962</v>
      </c>
      <c r="B39" s="1">
        <v>0.71</v>
      </c>
      <c r="C39" s="1">
        <v>0.13</v>
      </c>
      <c r="D39" s="1">
        <v>0.14000000000000001</v>
      </c>
      <c r="E39" s="1">
        <v>0.41</v>
      </c>
      <c r="F39" s="1">
        <v>0.17</v>
      </c>
      <c r="G39" s="1">
        <v>0.37</v>
      </c>
      <c r="H39" s="1">
        <v>3.54</v>
      </c>
      <c r="I39" s="1">
        <v>0.35</v>
      </c>
      <c r="J39" s="1">
        <v>2</v>
      </c>
      <c r="K39" s="1">
        <v>1.51</v>
      </c>
      <c r="L39" s="1">
        <v>1.66</v>
      </c>
      <c r="M39" s="1">
        <v>1.38</v>
      </c>
      <c r="N39" s="10">
        <f t="shared" si="0"/>
        <v>12.370000000000001</v>
      </c>
      <c r="P39" s="16">
        <f t="shared" si="6"/>
        <v>77.554858934169289</v>
      </c>
      <c r="Q39" s="1">
        <v>1962</v>
      </c>
      <c r="R39" s="9">
        <f t="shared" si="7"/>
        <v>5.83</v>
      </c>
      <c r="T39" s="6">
        <f t="shared" si="5"/>
        <v>67.165898617511516</v>
      </c>
      <c r="U39" s="9">
        <f t="shared" si="9"/>
        <v>10.79</v>
      </c>
      <c r="V39" s="6"/>
      <c r="W39" s="6">
        <f t="shared" si="8"/>
        <v>70.338983050847446</v>
      </c>
      <c r="X39" s="6"/>
      <c r="Y39" s="5">
        <f t="shared" si="2"/>
        <v>1.9299999999999997</v>
      </c>
      <c r="Z39" s="5">
        <f t="shared" si="3"/>
        <v>4.55</v>
      </c>
      <c r="AB39" s="1">
        <f t="shared" si="4"/>
        <v>5.8199999999999994</v>
      </c>
      <c r="AC39" s="1">
        <f t="shared" si="10"/>
        <v>6.55</v>
      </c>
    </row>
    <row r="40" spans="1:29" ht="12" customHeight="1" x14ac:dyDescent="0.2">
      <c r="A40" s="1">
        <v>1963</v>
      </c>
      <c r="B40" s="1">
        <v>1.47</v>
      </c>
      <c r="C40" s="1">
        <v>1.75</v>
      </c>
      <c r="D40" s="1">
        <v>0.62</v>
      </c>
      <c r="E40" s="1">
        <v>0.24</v>
      </c>
      <c r="F40" s="1">
        <v>0.13</v>
      </c>
      <c r="G40" s="1">
        <v>1.56</v>
      </c>
      <c r="H40" s="1">
        <v>1.28</v>
      </c>
      <c r="I40" s="1">
        <v>3</v>
      </c>
      <c r="J40" s="1">
        <v>2.02</v>
      </c>
      <c r="K40" s="1">
        <v>1.32</v>
      </c>
      <c r="L40" s="1">
        <v>0.52</v>
      </c>
      <c r="M40" s="1">
        <v>0.04</v>
      </c>
      <c r="N40" s="10">
        <f t="shared" si="0"/>
        <v>13.95</v>
      </c>
      <c r="P40" s="16">
        <f t="shared" si="6"/>
        <v>87.460815047021939</v>
      </c>
      <c r="Q40" s="1">
        <v>1963</v>
      </c>
      <c r="R40" s="9">
        <f t="shared" si="7"/>
        <v>10.32</v>
      </c>
      <c r="T40" s="6">
        <f t="shared" si="5"/>
        <v>118.89400921658988</v>
      </c>
      <c r="U40" s="9">
        <f t="shared" si="9"/>
        <v>16.600000000000001</v>
      </c>
      <c r="V40" s="6"/>
      <c r="W40" s="6">
        <f t="shared" si="8"/>
        <v>108.21382007822686</v>
      </c>
      <c r="X40" s="6"/>
      <c r="Y40" s="5">
        <f t="shared" si="2"/>
        <v>5.77</v>
      </c>
      <c r="Z40" s="5">
        <f t="shared" si="3"/>
        <v>1.8800000000000001</v>
      </c>
      <c r="AB40" s="1">
        <f t="shared" si="4"/>
        <v>10.050000000000001</v>
      </c>
      <c r="AC40" s="1">
        <f t="shared" si="10"/>
        <v>3.9</v>
      </c>
    </row>
    <row r="41" spans="1:29" ht="12" customHeight="1" x14ac:dyDescent="0.2">
      <c r="A41" s="1">
        <v>1964</v>
      </c>
      <c r="B41" s="1">
        <v>0.04</v>
      </c>
      <c r="C41" s="1">
        <v>1.07</v>
      </c>
      <c r="D41" s="1">
        <v>0.55000000000000004</v>
      </c>
      <c r="E41" s="1">
        <v>0.6</v>
      </c>
      <c r="F41" s="1">
        <v>0.71</v>
      </c>
      <c r="G41" s="1">
        <v>0.6</v>
      </c>
      <c r="H41" s="1">
        <v>2.25</v>
      </c>
      <c r="I41" s="1">
        <v>2.37</v>
      </c>
      <c r="J41" s="1">
        <v>2.04</v>
      </c>
      <c r="K41" s="1">
        <v>0.12</v>
      </c>
      <c r="L41" s="1">
        <v>0.68</v>
      </c>
      <c r="M41" s="1">
        <v>0.49</v>
      </c>
      <c r="N41" s="10">
        <f t="shared" si="0"/>
        <v>11.52</v>
      </c>
      <c r="P41" s="16">
        <f t="shared" si="6"/>
        <v>72.225705329153612</v>
      </c>
      <c r="Q41" s="1">
        <v>1964</v>
      </c>
      <c r="R41" s="9">
        <f t="shared" si="7"/>
        <v>5.45</v>
      </c>
      <c r="T41" s="6">
        <f t="shared" si="5"/>
        <v>62.78801843317973</v>
      </c>
      <c r="U41" s="9">
        <f t="shared" si="9"/>
        <v>12.090000000000002</v>
      </c>
      <c r="V41" s="6"/>
      <c r="W41" s="6">
        <f t="shared" si="8"/>
        <v>78.81355932203391</v>
      </c>
      <c r="X41" s="6"/>
      <c r="Y41" s="5">
        <f t="shared" si="2"/>
        <v>3.5700000000000003</v>
      </c>
      <c r="Z41" s="5">
        <f t="shared" si="3"/>
        <v>1.29</v>
      </c>
      <c r="AB41" s="1">
        <f t="shared" si="4"/>
        <v>8.1900000000000013</v>
      </c>
      <c r="AC41" s="1">
        <f t="shared" si="10"/>
        <v>3.33</v>
      </c>
    </row>
    <row r="42" spans="1:29" ht="12" customHeight="1" x14ac:dyDescent="0.2">
      <c r="A42" s="1">
        <v>1965</v>
      </c>
      <c r="B42" s="1">
        <v>1.18</v>
      </c>
      <c r="C42" s="1">
        <v>1.05</v>
      </c>
      <c r="D42" s="1">
        <v>0.61</v>
      </c>
      <c r="E42" s="1">
        <v>1.56</v>
      </c>
      <c r="F42" s="1">
        <v>1.77</v>
      </c>
      <c r="G42" s="1">
        <v>5.75</v>
      </c>
      <c r="H42" s="1">
        <v>1.76</v>
      </c>
      <c r="I42" s="1">
        <v>3.49</v>
      </c>
      <c r="J42" s="1">
        <v>2.64</v>
      </c>
      <c r="K42" s="1">
        <v>1.57</v>
      </c>
      <c r="L42" s="1">
        <v>0.47</v>
      </c>
      <c r="M42" s="1">
        <v>2.61</v>
      </c>
      <c r="N42" s="10">
        <f t="shared" si="0"/>
        <v>24.46</v>
      </c>
      <c r="P42" s="16">
        <f t="shared" si="6"/>
        <v>153.35423197492165</v>
      </c>
      <c r="Q42" s="1">
        <v>1965</v>
      </c>
      <c r="R42" s="9">
        <f t="shared" si="7"/>
        <v>13.21</v>
      </c>
      <c r="T42" s="6">
        <f t="shared" si="5"/>
        <v>152.18894009216589</v>
      </c>
      <c r="U42" s="9">
        <f t="shared" si="9"/>
        <v>20.5</v>
      </c>
      <c r="V42" s="6"/>
      <c r="W42" s="6">
        <f t="shared" si="8"/>
        <v>133.6375488917862</v>
      </c>
      <c r="X42" s="6"/>
      <c r="Y42" s="5">
        <f t="shared" si="2"/>
        <v>11.92</v>
      </c>
      <c r="Z42" s="5">
        <f t="shared" si="3"/>
        <v>4.6500000000000004</v>
      </c>
      <c r="AB42" s="1">
        <f t="shared" si="4"/>
        <v>17.170000000000002</v>
      </c>
      <c r="AC42" s="1">
        <f t="shared" si="10"/>
        <v>7.2899999999999991</v>
      </c>
    </row>
    <row r="43" spans="1:29" ht="12" customHeight="1" x14ac:dyDescent="0.2">
      <c r="A43" s="1">
        <v>1966</v>
      </c>
      <c r="B43" s="1">
        <v>0.4</v>
      </c>
      <c r="C43" s="1">
        <v>0.57999999999999996</v>
      </c>
      <c r="D43" s="1">
        <v>0</v>
      </c>
      <c r="E43" s="1">
        <v>5.0000000000000001E-3</v>
      </c>
      <c r="F43" s="1">
        <v>7.0000000000000007E-2</v>
      </c>
      <c r="G43" s="1">
        <v>2.88</v>
      </c>
      <c r="H43" s="1">
        <v>1.98</v>
      </c>
      <c r="I43" s="1">
        <v>3.61</v>
      </c>
      <c r="J43" s="1">
        <v>0.81</v>
      </c>
      <c r="K43" s="1">
        <v>0.25</v>
      </c>
      <c r="L43" s="1">
        <v>0.19</v>
      </c>
      <c r="M43" s="1">
        <v>0.64</v>
      </c>
      <c r="N43" s="10">
        <f t="shared" si="0"/>
        <v>11.414999999999999</v>
      </c>
      <c r="P43" s="16">
        <f t="shared" si="6"/>
        <v>71.567398119122245</v>
      </c>
      <c r="Q43" s="1">
        <v>1966</v>
      </c>
      <c r="R43" s="9">
        <f t="shared" si="7"/>
        <v>8.5850000000000009</v>
      </c>
      <c r="T43" s="6">
        <f t="shared" si="5"/>
        <v>98.905529953917053</v>
      </c>
      <c r="U43" s="9">
        <f t="shared" si="9"/>
        <v>16.814999999999998</v>
      </c>
      <c r="V43" s="6"/>
      <c r="W43" s="6">
        <f t="shared" si="8"/>
        <v>109.6153846153846</v>
      </c>
      <c r="X43" s="6"/>
      <c r="Y43" s="5">
        <f t="shared" si="2"/>
        <v>3.9349999999999996</v>
      </c>
      <c r="Z43" s="5">
        <f t="shared" si="3"/>
        <v>1.08</v>
      </c>
      <c r="AB43" s="1">
        <f t="shared" si="4"/>
        <v>9.5249999999999986</v>
      </c>
      <c r="AC43" s="1">
        <f t="shared" si="10"/>
        <v>1.8900000000000001</v>
      </c>
    </row>
    <row r="44" spans="1:29" ht="12" customHeight="1" x14ac:dyDescent="0.2">
      <c r="A44" s="1">
        <v>1967</v>
      </c>
      <c r="B44" s="1">
        <v>5.0000000000000001E-3</v>
      </c>
      <c r="C44" s="1">
        <v>0.42</v>
      </c>
      <c r="D44" s="1">
        <v>0.56999999999999995</v>
      </c>
      <c r="E44" s="1">
        <v>0</v>
      </c>
      <c r="F44" s="1">
        <v>0.97</v>
      </c>
      <c r="G44" s="1">
        <v>1.8</v>
      </c>
      <c r="H44" s="1">
        <v>3.77</v>
      </c>
      <c r="I44" s="1">
        <v>5.96</v>
      </c>
      <c r="J44" s="1">
        <v>1.9</v>
      </c>
      <c r="K44" s="1">
        <v>0.1</v>
      </c>
      <c r="L44" s="1">
        <v>0.18</v>
      </c>
      <c r="M44" s="1">
        <v>2.59</v>
      </c>
      <c r="N44" s="10">
        <f t="shared" si="0"/>
        <v>18.265000000000001</v>
      </c>
      <c r="P44" s="16">
        <f t="shared" si="6"/>
        <v>114.51410658307211</v>
      </c>
      <c r="Q44" s="1">
        <v>1967</v>
      </c>
      <c r="R44" s="9">
        <f t="shared" si="7"/>
        <v>4.8449999999999998</v>
      </c>
      <c r="T44" s="6">
        <f t="shared" si="5"/>
        <v>55.817972350230413</v>
      </c>
      <c r="U44" s="9">
        <f t="shared" si="9"/>
        <v>15.385000000000002</v>
      </c>
      <c r="V44" s="6"/>
      <c r="W44" s="6">
        <f t="shared" si="8"/>
        <v>100.29335071707955</v>
      </c>
      <c r="X44" s="6"/>
      <c r="Y44" s="5">
        <f t="shared" si="2"/>
        <v>3.7649999999999997</v>
      </c>
      <c r="Z44" s="5">
        <f t="shared" si="3"/>
        <v>2.87</v>
      </c>
      <c r="AB44" s="1">
        <f t="shared" si="4"/>
        <v>13.495000000000001</v>
      </c>
      <c r="AC44" s="1">
        <f t="shared" si="10"/>
        <v>4.7699999999999996</v>
      </c>
    </row>
    <row r="45" spans="1:29" ht="12" customHeight="1" x14ac:dyDescent="0.2">
      <c r="A45" s="1">
        <v>1968</v>
      </c>
      <c r="B45" s="1">
        <v>0.15</v>
      </c>
      <c r="C45" s="1">
        <v>1.38</v>
      </c>
      <c r="D45" s="1">
        <v>1.28</v>
      </c>
      <c r="E45" s="1">
        <v>0.79</v>
      </c>
      <c r="F45" s="1">
        <v>1.92</v>
      </c>
      <c r="G45" s="1">
        <v>5.0000000000000001E-3</v>
      </c>
      <c r="H45" s="1">
        <v>3.54</v>
      </c>
      <c r="I45" s="1">
        <v>4.6100000000000003</v>
      </c>
      <c r="J45" s="1">
        <v>0.3</v>
      </c>
      <c r="K45" s="1">
        <v>0.38</v>
      </c>
      <c r="L45" s="1">
        <v>0.76</v>
      </c>
      <c r="M45" s="1">
        <v>1.01</v>
      </c>
      <c r="N45" s="10">
        <f t="shared" si="0"/>
        <v>16.125000000000004</v>
      </c>
      <c r="P45" s="16">
        <f t="shared" si="6"/>
        <v>101.09717868338561</v>
      </c>
      <c r="Q45" s="1">
        <v>1968</v>
      </c>
      <c r="R45" s="9">
        <f t="shared" si="7"/>
        <v>8.3949999999999996</v>
      </c>
      <c r="T45" s="6">
        <f t="shared" si="5"/>
        <v>96.716589861751146</v>
      </c>
      <c r="U45" s="9">
        <f t="shared" si="9"/>
        <v>18.445</v>
      </c>
      <c r="V45" s="6"/>
      <c r="W45" s="6">
        <f t="shared" si="8"/>
        <v>120.24119947848762</v>
      </c>
      <c r="X45" s="6"/>
      <c r="Y45" s="5">
        <f t="shared" si="2"/>
        <v>5.5249999999999995</v>
      </c>
      <c r="Z45" s="5">
        <f t="shared" si="3"/>
        <v>2.1500000000000004</v>
      </c>
      <c r="AB45" s="1">
        <f t="shared" si="4"/>
        <v>13.675000000000001</v>
      </c>
      <c r="AC45" s="1">
        <f t="shared" si="10"/>
        <v>2.4500000000000002</v>
      </c>
    </row>
    <row r="46" spans="1:29" ht="12" customHeight="1" x14ac:dyDescent="0.2">
      <c r="A46" s="1">
        <v>1969</v>
      </c>
      <c r="B46" s="1">
        <v>0.49</v>
      </c>
      <c r="C46" s="1">
        <v>1.75</v>
      </c>
      <c r="D46" s="1">
        <v>0.15</v>
      </c>
      <c r="E46" s="1">
        <v>1.18</v>
      </c>
      <c r="F46" s="1">
        <v>2.46</v>
      </c>
      <c r="G46" s="1">
        <v>4.9000000000000004</v>
      </c>
      <c r="H46" s="1">
        <v>2.39</v>
      </c>
      <c r="I46" s="1">
        <v>4.12</v>
      </c>
      <c r="J46" s="1">
        <v>2.23</v>
      </c>
      <c r="K46" s="1">
        <v>2.93</v>
      </c>
      <c r="L46" s="1">
        <v>0.22</v>
      </c>
      <c r="M46" s="1">
        <v>1.32</v>
      </c>
      <c r="N46" s="10">
        <f t="shared" si="0"/>
        <v>24.14</v>
      </c>
      <c r="P46" s="16">
        <f t="shared" si="6"/>
        <v>151.34796238244513</v>
      </c>
      <c r="Q46" s="1">
        <v>1969</v>
      </c>
      <c r="R46" s="9">
        <f t="shared" si="7"/>
        <v>13.08</v>
      </c>
      <c r="T46" s="6">
        <f t="shared" si="5"/>
        <v>150.69124423963135</v>
      </c>
      <c r="U46" s="9">
        <f t="shared" si="9"/>
        <v>19.89</v>
      </c>
      <c r="V46" s="6"/>
      <c r="W46" s="6">
        <f t="shared" si="8"/>
        <v>129.66101694915255</v>
      </c>
      <c r="X46" s="6"/>
      <c r="Y46" s="5">
        <f t="shared" si="2"/>
        <v>10.93</v>
      </c>
      <c r="Z46" s="5">
        <f t="shared" si="3"/>
        <v>4.4700000000000006</v>
      </c>
      <c r="AB46" s="1">
        <f t="shared" si="4"/>
        <v>17.440000000000001</v>
      </c>
      <c r="AC46" s="1">
        <f t="shared" si="10"/>
        <v>6.7</v>
      </c>
    </row>
    <row r="47" spans="1:29" ht="12" customHeight="1" x14ac:dyDescent="0.2">
      <c r="A47" s="1">
        <v>1970</v>
      </c>
      <c r="B47" s="1">
        <v>5.0000000000000001E-3</v>
      </c>
      <c r="C47" s="1">
        <v>0.4</v>
      </c>
      <c r="D47" s="1">
        <v>2.0699999999999998</v>
      </c>
      <c r="E47" s="1">
        <v>0.54</v>
      </c>
      <c r="F47" s="2">
        <v>0.51</v>
      </c>
      <c r="G47" s="1">
        <v>0.63</v>
      </c>
      <c r="H47" s="1">
        <v>3.12</v>
      </c>
      <c r="I47" s="1">
        <v>2.48</v>
      </c>
      <c r="J47" s="1">
        <v>0.76</v>
      </c>
      <c r="K47" s="1">
        <v>0.74</v>
      </c>
      <c r="L47" s="1">
        <v>0.05</v>
      </c>
      <c r="M47" s="1">
        <v>0.05</v>
      </c>
      <c r="N47" s="10">
        <f t="shared" si="0"/>
        <v>11.355</v>
      </c>
      <c r="P47" s="16">
        <f t="shared" si="6"/>
        <v>71.191222570532915</v>
      </c>
      <c r="Q47" s="1">
        <v>1970</v>
      </c>
      <c r="R47" s="9"/>
      <c r="S47" s="1">
        <v>-1</v>
      </c>
      <c r="T47" s="6"/>
      <c r="U47" s="9">
        <f t="shared" si="9"/>
        <v>16.454999999999998</v>
      </c>
      <c r="V47" s="6">
        <v>-1</v>
      </c>
      <c r="W47" s="6">
        <f t="shared" si="8"/>
        <v>107.26857887874837</v>
      </c>
      <c r="X47" s="6"/>
      <c r="Y47" s="5"/>
      <c r="Z47" s="5">
        <f t="shared" si="3"/>
        <v>0.84000000000000008</v>
      </c>
      <c r="AB47" s="1">
        <f t="shared" si="4"/>
        <v>9.754999999999999</v>
      </c>
      <c r="AC47" s="1">
        <f t="shared" si="10"/>
        <v>1.6</v>
      </c>
    </row>
    <row r="48" spans="1:29" ht="12" customHeight="1" x14ac:dyDescent="0.2">
      <c r="A48" s="1">
        <v>1971</v>
      </c>
      <c r="B48" s="1">
        <v>1.1599999999999999</v>
      </c>
      <c r="C48" s="1">
        <v>0.17</v>
      </c>
      <c r="D48" s="1">
        <v>0.41</v>
      </c>
      <c r="E48" s="1">
        <v>1.1100000000000001</v>
      </c>
      <c r="F48" s="1">
        <v>0.72</v>
      </c>
      <c r="G48" s="1">
        <v>0.39</v>
      </c>
      <c r="H48" s="1">
        <v>2.71</v>
      </c>
      <c r="I48" s="1">
        <v>2.98</v>
      </c>
      <c r="J48" s="1">
        <v>2.14</v>
      </c>
      <c r="K48" s="1">
        <v>2.6</v>
      </c>
      <c r="L48" s="1">
        <v>1.23</v>
      </c>
      <c r="M48" s="1">
        <v>2.36</v>
      </c>
      <c r="N48" s="10">
        <f t="shared" si="0"/>
        <v>17.98</v>
      </c>
      <c r="P48" s="16">
        <f t="shared" si="6"/>
        <v>112.72727272727275</v>
      </c>
      <c r="Q48" s="1">
        <v>1971</v>
      </c>
      <c r="R48" s="9">
        <f>SUM(Z47+Y48)</f>
        <v>4.8</v>
      </c>
      <c r="T48" s="6">
        <f t="shared" si="5"/>
        <v>55.299539170506918</v>
      </c>
      <c r="U48" s="9">
        <f t="shared" si="9"/>
        <v>11.25</v>
      </c>
      <c r="V48" s="6"/>
      <c r="W48" s="6">
        <f t="shared" si="8"/>
        <v>73.337679269882656</v>
      </c>
      <c r="X48" s="6"/>
      <c r="Y48" s="5">
        <f t="shared" si="2"/>
        <v>3.9599999999999995</v>
      </c>
      <c r="Z48" s="5">
        <f t="shared" si="3"/>
        <v>6.1899999999999995</v>
      </c>
      <c r="AB48" s="1">
        <f t="shared" si="4"/>
        <v>9.65</v>
      </c>
      <c r="AC48" s="1">
        <f t="shared" si="10"/>
        <v>8.33</v>
      </c>
    </row>
    <row r="49" spans="1:29" ht="12" customHeight="1" x14ac:dyDescent="0.2">
      <c r="A49" s="1">
        <v>1972</v>
      </c>
      <c r="B49" s="1">
        <v>0.65</v>
      </c>
      <c r="C49" s="1">
        <v>0.02</v>
      </c>
      <c r="D49" s="1">
        <v>5.0000000000000001E-3</v>
      </c>
      <c r="E49" s="1">
        <v>0</v>
      </c>
      <c r="F49" s="1">
        <v>1.28</v>
      </c>
      <c r="G49" s="1">
        <v>0.43</v>
      </c>
      <c r="H49" s="1">
        <v>2.37</v>
      </c>
      <c r="I49" s="1">
        <v>3.02</v>
      </c>
      <c r="J49" s="1">
        <v>4.5199999999999996</v>
      </c>
      <c r="K49" s="1">
        <v>4.03</v>
      </c>
      <c r="L49" s="1">
        <v>1.28</v>
      </c>
      <c r="M49" s="1">
        <v>0.44</v>
      </c>
      <c r="N49" s="10">
        <f t="shared" si="0"/>
        <v>18.045000000000002</v>
      </c>
      <c r="P49" s="16">
        <f t="shared" si="6"/>
        <v>113.13479623824453</v>
      </c>
      <c r="Q49" s="1">
        <v>1972</v>
      </c>
      <c r="R49" s="9">
        <f>SUM(Z48+Y49)</f>
        <v>8.5749999999999993</v>
      </c>
      <c r="T49" s="6">
        <f t="shared" si="5"/>
        <v>98.790322580645153</v>
      </c>
      <c r="U49" s="9">
        <f t="shared" si="9"/>
        <v>16.105</v>
      </c>
      <c r="V49" s="6"/>
      <c r="W49" s="6">
        <f t="shared" si="8"/>
        <v>104.98696219035202</v>
      </c>
      <c r="X49" s="6"/>
      <c r="Y49" s="5">
        <f t="shared" si="2"/>
        <v>2.3850000000000002</v>
      </c>
      <c r="Z49" s="5">
        <f t="shared" si="3"/>
        <v>5.7500000000000009</v>
      </c>
      <c r="AB49" s="1">
        <f t="shared" si="4"/>
        <v>7.7750000000000004</v>
      </c>
      <c r="AC49" s="1">
        <f t="shared" si="10"/>
        <v>10.27</v>
      </c>
    </row>
    <row r="50" spans="1:29" ht="12" customHeight="1" x14ac:dyDescent="0.2">
      <c r="A50" s="1">
        <v>1973</v>
      </c>
      <c r="B50" s="1">
        <v>0.63</v>
      </c>
      <c r="C50" s="1">
        <v>0.93</v>
      </c>
      <c r="D50" s="1">
        <v>1.73</v>
      </c>
      <c r="E50" s="1">
        <v>0.43</v>
      </c>
      <c r="F50" s="1">
        <v>1.22</v>
      </c>
      <c r="G50" s="1">
        <v>0.98</v>
      </c>
      <c r="H50" s="1">
        <v>3.7</v>
      </c>
      <c r="I50" s="1">
        <v>2.65</v>
      </c>
      <c r="J50" s="1">
        <v>2.56</v>
      </c>
      <c r="K50" s="1">
        <v>0.98</v>
      </c>
      <c r="L50" s="1">
        <v>0.21</v>
      </c>
      <c r="M50" s="1">
        <v>0</v>
      </c>
      <c r="N50" s="10">
        <f t="shared" si="0"/>
        <v>16.020000000000003</v>
      </c>
      <c r="P50" s="16">
        <f t="shared" si="6"/>
        <v>100.43887147335427</v>
      </c>
      <c r="Q50" s="1">
        <v>1973</v>
      </c>
      <c r="R50" s="9">
        <f>SUM(Z49+Y50)</f>
        <v>11.670000000000002</v>
      </c>
      <c r="T50" s="6">
        <f t="shared" si="5"/>
        <v>134.44700460829495</v>
      </c>
      <c r="U50" s="9">
        <f t="shared" si="9"/>
        <v>22.54</v>
      </c>
      <c r="V50" s="6"/>
      <c r="W50" s="6">
        <f t="shared" si="8"/>
        <v>146.93611473272489</v>
      </c>
      <c r="X50" s="6"/>
      <c r="Y50" s="5">
        <f t="shared" si="2"/>
        <v>5.92</v>
      </c>
      <c r="Z50" s="5">
        <f t="shared" si="3"/>
        <v>1.19</v>
      </c>
      <c r="AB50" s="1">
        <f t="shared" si="4"/>
        <v>12.270000000000001</v>
      </c>
      <c r="AC50" s="1">
        <f t="shared" si="10"/>
        <v>3.75</v>
      </c>
    </row>
    <row r="51" spans="1:29" ht="12" customHeight="1" x14ac:dyDescent="0.2">
      <c r="A51" s="1">
        <v>1974</v>
      </c>
      <c r="B51" s="1">
        <v>2.82</v>
      </c>
      <c r="C51" s="1">
        <v>0.51</v>
      </c>
      <c r="D51" s="1">
        <v>1.1299999999999999</v>
      </c>
      <c r="E51" s="1">
        <v>0.22</v>
      </c>
      <c r="F51" s="1">
        <v>0.3</v>
      </c>
      <c r="G51" s="1">
        <v>0.48</v>
      </c>
      <c r="H51" s="1">
        <v>2.2000000000000002</v>
      </c>
      <c r="I51" s="1">
        <v>2.31</v>
      </c>
      <c r="J51" s="1">
        <v>1.04</v>
      </c>
      <c r="K51" s="1">
        <v>3.13</v>
      </c>
      <c r="L51" s="1">
        <v>0.39</v>
      </c>
      <c r="M51" s="1">
        <v>0.8</v>
      </c>
      <c r="N51" s="10">
        <f t="shared" si="0"/>
        <v>15.329999999999998</v>
      </c>
      <c r="P51" s="16">
        <f t="shared" si="6"/>
        <v>96.112852664576792</v>
      </c>
      <c r="Q51" s="1">
        <v>1974</v>
      </c>
      <c r="R51" s="9">
        <f>SUM(Z50+Y51)</f>
        <v>6.6499999999999986</v>
      </c>
      <c r="T51" s="6">
        <f t="shared" si="5"/>
        <v>76.612903225806434</v>
      </c>
      <c r="U51" s="9">
        <f t="shared" si="9"/>
        <v>13.719999999999999</v>
      </c>
      <c r="V51" s="6"/>
      <c r="W51" s="6">
        <f t="shared" si="8"/>
        <v>89.439374185136884</v>
      </c>
      <c r="X51" s="6"/>
      <c r="Y51" s="5">
        <f t="shared" si="2"/>
        <v>5.4599999999999991</v>
      </c>
      <c r="Z51" s="5">
        <f t="shared" si="3"/>
        <v>4.32</v>
      </c>
      <c r="AB51" s="1">
        <f t="shared" si="4"/>
        <v>9.9699999999999989</v>
      </c>
      <c r="AC51" s="1">
        <f t="shared" si="10"/>
        <v>5.3599999999999994</v>
      </c>
    </row>
    <row r="52" spans="1:29" ht="12" customHeight="1" x14ac:dyDescent="0.2">
      <c r="A52" s="1">
        <v>1975</v>
      </c>
      <c r="B52" s="1">
        <v>0.84</v>
      </c>
      <c r="C52" s="1">
        <v>2.2999999999999998</v>
      </c>
      <c r="D52" s="1">
        <v>1.31</v>
      </c>
      <c r="E52" s="1">
        <v>0.85</v>
      </c>
      <c r="F52" s="1">
        <v>0.24</v>
      </c>
      <c r="G52" s="1">
        <v>0.65</v>
      </c>
      <c r="H52" s="1">
        <v>3.53</v>
      </c>
      <c r="I52" s="1">
        <v>1.18</v>
      </c>
      <c r="J52" s="1">
        <v>3.48</v>
      </c>
      <c r="K52" s="1">
        <v>0</v>
      </c>
      <c r="L52" s="1">
        <v>0.63</v>
      </c>
      <c r="M52" s="1">
        <v>0.32</v>
      </c>
      <c r="N52" s="10">
        <f t="shared" si="0"/>
        <v>15.33</v>
      </c>
      <c r="P52" s="16">
        <f t="shared" si="6"/>
        <v>96.112852664576806</v>
      </c>
      <c r="Q52" s="1">
        <v>1975</v>
      </c>
      <c r="R52" s="9">
        <f>SUM(Z51+Y52)</f>
        <v>10.51</v>
      </c>
      <c r="T52" s="6">
        <f t="shared" si="5"/>
        <v>121.08294930875576</v>
      </c>
      <c r="U52" s="9">
        <f t="shared" si="9"/>
        <v>16.259999999999998</v>
      </c>
      <c r="V52" s="6"/>
      <c r="W52" s="6">
        <f t="shared" si="8"/>
        <v>105.99739243807038</v>
      </c>
      <c r="X52" s="6"/>
      <c r="Y52" s="5">
        <f t="shared" si="2"/>
        <v>6.1899999999999995</v>
      </c>
      <c r="Z52" s="5">
        <f t="shared" si="3"/>
        <v>0.95</v>
      </c>
      <c r="AB52" s="1">
        <f t="shared" si="4"/>
        <v>10.899999999999999</v>
      </c>
      <c r="AC52" s="1">
        <f t="shared" si="10"/>
        <v>4.4300000000000006</v>
      </c>
    </row>
    <row r="53" spans="1:29" ht="12" customHeight="1" x14ac:dyDescent="0.2">
      <c r="A53" s="1">
        <v>1976</v>
      </c>
      <c r="B53" s="2">
        <v>0.08</v>
      </c>
      <c r="C53" s="2">
        <v>1.21</v>
      </c>
      <c r="D53" s="2">
        <v>0.57999999999999996</v>
      </c>
      <c r="E53" s="2">
        <v>0.56999999999999995</v>
      </c>
      <c r="F53" s="1">
        <v>1.18</v>
      </c>
      <c r="G53" s="1">
        <v>0.13</v>
      </c>
      <c r="H53" s="1">
        <v>2.71</v>
      </c>
      <c r="I53" s="1">
        <v>3.67</v>
      </c>
      <c r="J53" s="1">
        <v>2.57</v>
      </c>
      <c r="K53" s="1">
        <v>0.01</v>
      </c>
      <c r="L53" s="22" t="s">
        <v>13</v>
      </c>
      <c r="M53" s="1">
        <v>0.09</v>
      </c>
      <c r="N53" s="10">
        <f t="shared" si="0"/>
        <v>12.799999999999999</v>
      </c>
      <c r="O53" s="13">
        <v>-1</v>
      </c>
      <c r="P53" s="16">
        <f t="shared" si="6"/>
        <v>80.250783699059554</v>
      </c>
      <c r="Q53" s="1">
        <v>1976</v>
      </c>
      <c r="R53" s="9"/>
      <c r="S53" s="1">
        <v>-4</v>
      </c>
      <c r="T53" s="6"/>
      <c r="U53" s="9"/>
      <c r="V53" s="6">
        <v>-4</v>
      </c>
      <c r="W53" s="6"/>
      <c r="X53" s="6"/>
      <c r="Y53" s="5" t="s">
        <v>14</v>
      </c>
      <c r="Z53" s="5" t="s">
        <v>14</v>
      </c>
      <c r="AB53" s="1">
        <f t="shared" si="4"/>
        <v>10.129999999999999</v>
      </c>
      <c r="AC53" s="1">
        <f t="shared" si="10"/>
        <v>2.6699999999999995</v>
      </c>
    </row>
    <row r="54" spans="1:29" ht="12" customHeight="1" x14ac:dyDescent="0.2">
      <c r="A54" s="1">
        <v>1977</v>
      </c>
      <c r="B54" s="22" t="s">
        <v>13</v>
      </c>
      <c r="C54" s="22" t="s">
        <v>13</v>
      </c>
      <c r="D54" s="22" t="s">
        <v>13</v>
      </c>
      <c r="E54" s="1">
        <v>1.3</v>
      </c>
      <c r="F54" s="1">
        <v>0.57999999999999996</v>
      </c>
      <c r="G54" s="1">
        <v>0.59</v>
      </c>
      <c r="H54" s="1">
        <v>3.84</v>
      </c>
      <c r="I54" s="1">
        <v>4.47</v>
      </c>
      <c r="J54" s="22" t="s">
        <v>13</v>
      </c>
      <c r="K54" s="1">
        <v>0.97</v>
      </c>
      <c r="L54" s="1">
        <v>1.55</v>
      </c>
      <c r="M54" s="1">
        <v>0.01</v>
      </c>
      <c r="N54" s="10">
        <f>SUM(B54:M54)</f>
        <v>13.31</v>
      </c>
      <c r="O54" s="13">
        <v>-4</v>
      </c>
      <c r="P54" s="16">
        <f t="shared" si="6"/>
        <v>83.448275862068982</v>
      </c>
      <c r="Q54" s="1">
        <v>1977</v>
      </c>
      <c r="R54" s="9" t="s">
        <v>14</v>
      </c>
      <c r="S54" s="1">
        <v>-4</v>
      </c>
      <c r="T54" s="6"/>
      <c r="U54" s="9"/>
      <c r="V54" s="6">
        <v>-4</v>
      </c>
      <c r="W54" s="6"/>
      <c r="X54" s="6"/>
      <c r="Y54" s="5" t="s">
        <v>14</v>
      </c>
      <c r="Z54" s="5">
        <f t="shared" si="3"/>
        <v>2.5299999999999998</v>
      </c>
      <c r="AB54" s="1">
        <f t="shared" si="4"/>
        <v>10.78</v>
      </c>
      <c r="AC54" s="1">
        <f t="shared" si="10"/>
        <v>2.5299999999999998</v>
      </c>
    </row>
    <row r="55" spans="1:29" ht="12" customHeight="1" x14ac:dyDescent="0.2">
      <c r="A55" s="1">
        <v>1978</v>
      </c>
      <c r="B55" s="22" t="s">
        <v>13</v>
      </c>
      <c r="C55" s="1">
        <v>0.08</v>
      </c>
      <c r="D55" s="1">
        <v>2.12</v>
      </c>
      <c r="E55" s="1">
        <v>0.21</v>
      </c>
      <c r="F55" s="1">
        <v>2.69</v>
      </c>
      <c r="G55" s="1">
        <v>1.08</v>
      </c>
      <c r="H55" s="1">
        <v>1.52</v>
      </c>
      <c r="I55" s="1">
        <v>0.75</v>
      </c>
      <c r="J55" s="1">
        <v>1.52</v>
      </c>
      <c r="K55" s="1">
        <v>1.3</v>
      </c>
      <c r="L55" s="1">
        <v>6.43</v>
      </c>
      <c r="M55" s="1">
        <v>1.6</v>
      </c>
      <c r="N55" s="9">
        <f>SUM(C55:M55)</f>
        <v>19.3</v>
      </c>
      <c r="O55" s="16">
        <v>-1</v>
      </c>
      <c r="P55" s="16">
        <f t="shared" si="6"/>
        <v>121.00313479623826</v>
      </c>
      <c r="Q55" s="1">
        <v>1978</v>
      </c>
      <c r="R55" s="9"/>
      <c r="S55" s="1">
        <v>-1</v>
      </c>
      <c r="T55" s="6"/>
      <c r="U55" s="9"/>
      <c r="V55" s="6">
        <v>-1</v>
      </c>
      <c r="W55" s="6"/>
      <c r="X55" s="6"/>
      <c r="Y55" s="5" t="s">
        <v>14</v>
      </c>
      <c r="Z55" s="5">
        <f t="shared" si="3"/>
        <v>9.33</v>
      </c>
      <c r="AB55" s="1">
        <f t="shared" si="4"/>
        <v>8.4499999999999993</v>
      </c>
      <c r="AC55" s="1">
        <f t="shared" si="10"/>
        <v>10.85</v>
      </c>
    </row>
    <row r="56" spans="1:29" ht="12" customHeight="1" x14ac:dyDescent="0.2">
      <c r="A56" s="1">
        <v>1979</v>
      </c>
      <c r="B56" s="1">
        <v>2.86</v>
      </c>
      <c r="C56" s="1">
        <v>0.66</v>
      </c>
      <c r="D56" s="1">
        <v>0.88</v>
      </c>
      <c r="E56" s="1">
        <v>0.73</v>
      </c>
      <c r="F56" s="1">
        <v>3.54</v>
      </c>
      <c r="G56" s="1">
        <v>3.07</v>
      </c>
      <c r="H56" s="1">
        <v>0.42</v>
      </c>
      <c r="I56" s="1">
        <v>2.67</v>
      </c>
      <c r="J56" s="1">
        <v>0.18</v>
      </c>
      <c r="K56" s="1">
        <v>0.18</v>
      </c>
      <c r="L56" s="1">
        <v>1.03</v>
      </c>
      <c r="M56" s="1">
        <v>0.8</v>
      </c>
      <c r="N56" s="10">
        <f t="shared" ref="N56:N79" si="11">SUM(B56+C56+D56+E56+F56+G56+H56+I56+J56+K56+L56+M56)</f>
        <v>17.020000000000003</v>
      </c>
      <c r="P56" s="16">
        <f t="shared" si="6"/>
        <v>106.70846394984328</v>
      </c>
      <c r="Q56" s="1">
        <v>1979</v>
      </c>
      <c r="R56" s="9">
        <f t="shared" ref="R56:R78" si="12">SUM(Z55+Y56)</f>
        <v>21.07</v>
      </c>
      <c r="T56" s="6">
        <f t="shared" si="5"/>
        <v>242.741935483871</v>
      </c>
      <c r="U56" s="9">
        <f>SUM(AC55+AB56)</f>
        <v>25.68</v>
      </c>
      <c r="V56" s="6"/>
      <c r="W56" s="6">
        <f t="shared" ref="W56:W78" si="13">(U56/15.34)*100</f>
        <v>167.40547588005214</v>
      </c>
      <c r="X56" s="6"/>
      <c r="Y56" s="5">
        <f t="shared" si="2"/>
        <v>11.740000000000002</v>
      </c>
      <c r="Z56" s="5">
        <f t="shared" si="3"/>
        <v>2.0099999999999998</v>
      </c>
      <c r="AB56" s="1">
        <f t="shared" si="4"/>
        <v>14.830000000000002</v>
      </c>
      <c r="AC56" s="1">
        <f t="shared" si="10"/>
        <v>2.1900000000000004</v>
      </c>
    </row>
    <row r="57" spans="1:29" ht="12" customHeight="1" x14ac:dyDescent="0.2">
      <c r="A57" s="1">
        <v>1980</v>
      </c>
      <c r="B57" s="1">
        <v>1.06</v>
      </c>
      <c r="C57" s="1">
        <v>1.04</v>
      </c>
      <c r="D57" s="1">
        <v>0.96</v>
      </c>
      <c r="E57" s="1">
        <v>1.36</v>
      </c>
      <c r="F57" s="1">
        <v>1.1100000000000001</v>
      </c>
      <c r="G57" s="1">
        <v>0.01</v>
      </c>
      <c r="H57" s="1">
        <v>0.69</v>
      </c>
      <c r="I57" s="1">
        <v>2.1</v>
      </c>
      <c r="J57" s="1">
        <v>1.43</v>
      </c>
      <c r="K57" s="1">
        <v>1.0900000000000001</v>
      </c>
      <c r="L57" s="1">
        <v>2.14</v>
      </c>
      <c r="M57" s="1">
        <v>0.77</v>
      </c>
      <c r="N57" s="10">
        <f t="shared" si="11"/>
        <v>13.76</v>
      </c>
      <c r="P57" s="16">
        <f t="shared" si="6"/>
        <v>86.269592476489038</v>
      </c>
      <c r="Q57" s="1">
        <v>1980</v>
      </c>
      <c r="R57" s="9">
        <f t="shared" si="12"/>
        <v>7.55</v>
      </c>
      <c r="T57" s="6">
        <f t="shared" si="5"/>
        <v>86.981566820276498</v>
      </c>
      <c r="U57" s="9">
        <f t="shared" ref="U57:U70" si="14">SUM(AC56+AB57)</f>
        <v>10.52</v>
      </c>
      <c r="V57" s="6"/>
      <c r="W57" s="6">
        <f t="shared" si="13"/>
        <v>68.578878748370272</v>
      </c>
      <c r="X57" s="6"/>
      <c r="Y57" s="5">
        <f t="shared" si="2"/>
        <v>5.54</v>
      </c>
      <c r="Z57" s="5">
        <f t="shared" si="3"/>
        <v>4</v>
      </c>
      <c r="AB57" s="1">
        <f t="shared" si="4"/>
        <v>8.33</v>
      </c>
      <c r="AC57" s="1">
        <f t="shared" si="10"/>
        <v>5.43</v>
      </c>
    </row>
    <row r="58" spans="1:29" ht="12" customHeight="1" x14ac:dyDescent="0.2">
      <c r="A58" s="1">
        <v>1981</v>
      </c>
      <c r="B58" s="1">
        <v>0.2</v>
      </c>
      <c r="C58" s="1">
        <v>7.0000000000000007E-2</v>
      </c>
      <c r="D58" s="1">
        <v>1.9</v>
      </c>
      <c r="E58" s="1">
        <v>1.37</v>
      </c>
      <c r="F58" s="1">
        <v>2.37</v>
      </c>
      <c r="G58" s="1">
        <v>1.27</v>
      </c>
      <c r="H58" s="1">
        <v>1.76</v>
      </c>
      <c r="I58" s="1">
        <v>1.69</v>
      </c>
      <c r="J58" s="1">
        <v>2.42</v>
      </c>
      <c r="K58" s="1">
        <v>1.28</v>
      </c>
      <c r="L58" s="1">
        <v>0.72</v>
      </c>
      <c r="M58" s="1">
        <v>0.01</v>
      </c>
      <c r="N58" s="10">
        <f t="shared" si="11"/>
        <v>15.059999999999999</v>
      </c>
      <c r="P58" s="16">
        <f t="shared" si="6"/>
        <v>94.420062695924756</v>
      </c>
      <c r="Q58" s="1">
        <v>1981</v>
      </c>
      <c r="R58" s="9">
        <f t="shared" si="12"/>
        <v>11.18</v>
      </c>
      <c r="T58" s="6">
        <f t="shared" si="5"/>
        <v>128.80184331797236</v>
      </c>
      <c r="U58" s="9">
        <f t="shared" si="14"/>
        <v>16.059999999999999</v>
      </c>
      <c r="V58" s="6"/>
      <c r="W58" s="6">
        <f t="shared" si="13"/>
        <v>104.69361147327247</v>
      </c>
      <c r="X58" s="6"/>
      <c r="Y58" s="5">
        <f t="shared" si="2"/>
        <v>7.18</v>
      </c>
      <c r="Z58" s="5">
        <f t="shared" si="3"/>
        <v>2.0099999999999998</v>
      </c>
      <c r="AB58" s="1">
        <f t="shared" si="4"/>
        <v>10.629999999999999</v>
      </c>
      <c r="AC58" s="1">
        <f t="shared" si="10"/>
        <v>4.43</v>
      </c>
    </row>
    <row r="59" spans="1:29" ht="12" customHeight="1" x14ac:dyDescent="0.2">
      <c r="A59" s="1">
        <v>1982</v>
      </c>
      <c r="B59" s="1">
        <v>1.17</v>
      </c>
      <c r="C59" s="1">
        <v>1.68</v>
      </c>
      <c r="D59" s="1">
        <v>1.08</v>
      </c>
      <c r="E59" s="1">
        <v>0.23</v>
      </c>
      <c r="F59" s="1">
        <v>1.54</v>
      </c>
      <c r="G59" s="1">
        <v>0.38</v>
      </c>
      <c r="H59" s="1">
        <v>3.12</v>
      </c>
      <c r="I59" s="1">
        <v>3.79</v>
      </c>
      <c r="J59" s="1">
        <v>3.24</v>
      </c>
      <c r="K59" s="1">
        <v>0.6</v>
      </c>
      <c r="L59" s="1">
        <v>2.08</v>
      </c>
      <c r="M59" s="1">
        <v>1.77</v>
      </c>
      <c r="N59" s="10">
        <f>SUM(B59:M59)</f>
        <v>20.679999999999996</v>
      </c>
      <c r="P59" s="16">
        <f t="shared" si="6"/>
        <v>129.65517241379308</v>
      </c>
      <c r="Q59" s="1">
        <v>1982</v>
      </c>
      <c r="R59" s="9">
        <f t="shared" si="12"/>
        <v>8.09</v>
      </c>
      <c r="T59" s="6">
        <f t="shared" si="5"/>
        <v>93.202764976958534</v>
      </c>
      <c r="U59" s="9">
        <f t="shared" si="14"/>
        <v>17.419999999999998</v>
      </c>
      <c r="V59" s="6"/>
      <c r="W59" s="6">
        <f t="shared" si="13"/>
        <v>113.5593220338983</v>
      </c>
      <c r="X59" s="6"/>
      <c r="Y59" s="5">
        <f t="shared" si="2"/>
        <v>6.08</v>
      </c>
      <c r="Z59" s="5">
        <f t="shared" si="3"/>
        <v>4.45</v>
      </c>
      <c r="AB59" s="1">
        <f t="shared" si="4"/>
        <v>12.989999999999998</v>
      </c>
      <c r="AC59" s="1">
        <f t="shared" si="10"/>
        <v>7.6899999999999995</v>
      </c>
    </row>
    <row r="60" spans="1:29" ht="12" customHeight="1" x14ac:dyDescent="0.2">
      <c r="A60" s="1">
        <v>1983</v>
      </c>
      <c r="B60" s="1">
        <v>1.01</v>
      </c>
      <c r="C60" s="1">
        <v>1.29</v>
      </c>
      <c r="D60" s="1">
        <v>1.47</v>
      </c>
      <c r="E60" s="1">
        <v>1.0900000000000001</v>
      </c>
      <c r="F60" s="1">
        <v>0.5</v>
      </c>
      <c r="G60" s="1">
        <v>0.84</v>
      </c>
      <c r="H60" s="1">
        <v>2.39</v>
      </c>
      <c r="I60" s="1">
        <v>3.44</v>
      </c>
      <c r="J60" s="1">
        <v>0.95</v>
      </c>
      <c r="K60" s="1">
        <v>1.1100000000000001</v>
      </c>
      <c r="L60" s="1">
        <v>0.51</v>
      </c>
      <c r="M60" s="1">
        <v>1.0900000000000001</v>
      </c>
      <c r="N60" s="10">
        <f t="shared" si="11"/>
        <v>15.689999999999998</v>
      </c>
      <c r="P60" s="16">
        <f t="shared" si="6"/>
        <v>98.369905956112845</v>
      </c>
      <c r="Q60" s="1">
        <v>1983</v>
      </c>
      <c r="R60" s="9">
        <f t="shared" si="12"/>
        <v>10.649999999999999</v>
      </c>
      <c r="T60" s="6">
        <f t="shared" si="5"/>
        <v>122.69585253456219</v>
      </c>
      <c r="U60" s="9">
        <f t="shared" si="14"/>
        <v>19.72</v>
      </c>
      <c r="V60" s="6"/>
      <c r="W60" s="6">
        <f t="shared" si="13"/>
        <v>128.55280312907431</v>
      </c>
      <c r="X60" s="6"/>
      <c r="Y60" s="5">
        <f t="shared" si="2"/>
        <v>6.1999999999999993</v>
      </c>
      <c r="Z60" s="5">
        <f t="shared" si="3"/>
        <v>2.71</v>
      </c>
      <c r="AB60" s="1">
        <f t="shared" si="4"/>
        <v>12.03</v>
      </c>
      <c r="AC60" s="1">
        <f t="shared" si="10"/>
        <v>3.66</v>
      </c>
    </row>
    <row r="61" spans="1:29" ht="12" customHeight="1" x14ac:dyDescent="0.2">
      <c r="A61" s="1">
        <v>1984</v>
      </c>
      <c r="B61" s="1">
        <v>0.88</v>
      </c>
      <c r="C61" s="1">
        <v>0.03</v>
      </c>
      <c r="D61" s="1">
        <v>1.63</v>
      </c>
      <c r="E61" s="1">
        <v>0.38</v>
      </c>
      <c r="F61" s="1">
        <v>0.32</v>
      </c>
      <c r="G61" s="1">
        <v>1.41</v>
      </c>
      <c r="H61" s="1">
        <v>1.51</v>
      </c>
      <c r="I61" s="1">
        <v>3.68</v>
      </c>
      <c r="J61" s="1">
        <v>0.85</v>
      </c>
      <c r="K61" s="1">
        <v>3.19</v>
      </c>
      <c r="L61" s="1">
        <v>0.33</v>
      </c>
      <c r="M61" s="1">
        <v>2.1</v>
      </c>
      <c r="N61" s="10">
        <f t="shared" si="11"/>
        <v>16.309999999999999</v>
      </c>
      <c r="P61" s="16">
        <f t="shared" si="6"/>
        <v>102.25705329153605</v>
      </c>
      <c r="Q61" s="1">
        <v>1984</v>
      </c>
      <c r="R61" s="9">
        <f t="shared" si="12"/>
        <v>7.3599999999999994</v>
      </c>
      <c r="T61" s="6">
        <f t="shared" si="5"/>
        <v>84.792626728110605</v>
      </c>
      <c r="U61" s="9">
        <f t="shared" si="14"/>
        <v>13.5</v>
      </c>
      <c r="V61" s="6"/>
      <c r="W61" s="6">
        <f t="shared" si="13"/>
        <v>88.005215123859188</v>
      </c>
      <c r="X61" s="6"/>
      <c r="Y61" s="5">
        <f t="shared" si="2"/>
        <v>4.6499999999999995</v>
      </c>
      <c r="Z61" s="5">
        <f t="shared" si="3"/>
        <v>5.62</v>
      </c>
      <c r="AB61" s="1">
        <f t="shared" si="4"/>
        <v>9.84</v>
      </c>
      <c r="AC61" s="1">
        <f t="shared" si="10"/>
        <v>6.4700000000000006</v>
      </c>
    </row>
    <row r="62" spans="1:29" ht="12" customHeight="1" x14ac:dyDescent="0.2">
      <c r="A62" s="1">
        <v>1985</v>
      </c>
      <c r="B62" s="1">
        <v>0.86</v>
      </c>
      <c r="C62" s="1">
        <v>1.27</v>
      </c>
      <c r="D62" s="1">
        <v>4.3899999999999997</v>
      </c>
      <c r="E62" s="1">
        <v>3.16</v>
      </c>
      <c r="F62" s="1">
        <v>1.71</v>
      </c>
      <c r="G62" s="1">
        <v>1.28</v>
      </c>
      <c r="H62" s="1">
        <v>1.94</v>
      </c>
      <c r="I62" s="1">
        <v>2.57</v>
      </c>
      <c r="J62" s="1">
        <v>2.89</v>
      </c>
      <c r="K62" s="1">
        <v>3.63</v>
      </c>
      <c r="L62" s="1">
        <v>0.43</v>
      </c>
      <c r="M62" s="1">
        <v>0.37</v>
      </c>
      <c r="N62" s="9">
        <f t="shared" si="11"/>
        <v>24.5</v>
      </c>
      <c r="O62" s="14"/>
      <c r="P62" s="16">
        <f t="shared" si="6"/>
        <v>153.6050156739812</v>
      </c>
      <c r="Q62" s="1">
        <v>1985</v>
      </c>
      <c r="R62" s="9">
        <f t="shared" si="12"/>
        <v>18.29</v>
      </c>
      <c r="T62" s="6">
        <f t="shared" si="5"/>
        <v>210.71428571428572</v>
      </c>
      <c r="U62" s="9">
        <f t="shared" si="14"/>
        <v>23.65</v>
      </c>
      <c r="V62" s="6"/>
      <c r="W62" s="6">
        <f t="shared" si="13"/>
        <v>154.17209908735333</v>
      </c>
      <c r="X62" s="6"/>
      <c r="Y62" s="5">
        <f t="shared" si="2"/>
        <v>12.67</v>
      </c>
      <c r="Z62" s="5">
        <f t="shared" si="3"/>
        <v>4.43</v>
      </c>
      <c r="AB62" s="1">
        <f t="shared" si="4"/>
        <v>17.18</v>
      </c>
      <c r="AC62" s="1">
        <f t="shared" si="10"/>
        <v>7.3199999999999994</v>
      </c>
    </row>
    <row r="63" spans="1:29" ht="12" customHeight="1" x14ac:dyDescent="0.2">
      <c r="A63" s="1">
        <v>1986</v>
      </c>
      <c r="B63" s="1">
        <v>0</v>
      </c>
      <c r="C63" s="1">
        <v>1.89</v>
      </c>
      <c r="D63" s="1">
        <v>0.65</v>
      </c>
      <c r="E63" s="1">
        <v>1.51</v>
      </c>
      <c r="F63" s="1">
        <v>1.44</v>
      </c>
      <c r="G63" s="1">
        <v>3.83</v>
      </c>
      <c r="H63" s="1">
        <v>3.22</v>
      </c>
      <c r="I63" s="1">
        <v>2.19</v>
      </c>
      <c r="J63" s="1">
        <v>3.1</v>
      </c>
      <c r="K63" s="1">
        <v>2.71</v>
      </c>
      <c r="L63" s="1">
        <v>3.21</v>
      </c>
      <c r="M63" s="1">
        <v>1.1100000000000001</v>
      </c>
      <c r="N63" s="10">
        <f t="shared" si="11"/>
        <v>24.860000000000003</v>
      </c>
      <c r="P63" s="16">
        <f t="shared" si="6"/>
        <v>155.86206896551727</v>
      </c>
      <c r="Q63" s="1">
        <v>1986</v>
      </c>
      <c r="R63" s="9">
        <f t="shared" si="12"/>
        <v>13.75</v>
      </c>
      <c r="T63" s="6">
        <f t="shared" si="5"/>
        <v>158.41013824884794</v>
      </c>
      <c r="U63" s="9">
        <f t="shared" si="14"/>
        <v>22.05</v>
      </c>
      <c r="V63" s="6"/>
      <c r="W63" s="6">
        <f t="shared" si="13"/>
        <v>143.74185136897003</v>
      </c>
      <c r="X63" s="6"/>
      <c r="Y63" s="5">
        <f t="shared" si="2"/>
        <v>9.32</v>
      </c>
      <c r="Z63" s="5">
        <f t="shared" si="3"/>
        <v>7.03</v>
      </c>
      <c r="AB63" s="1">
        <f t="shared" si="4"/>
        <v>14.73</v>
      </c>
      <c r="AC63" s="1">
        <f t="shared" si="10"/>
        <v>10.129999999999999</v>
      </c>
    </row>
    <row r="64" spans="1:29" ht="12" customHeight="1" x14ac:dyDescent="0.2">
      <c r="A64" s="1">
        <v>1987</v>
      </c>
      <c r="B64" s="1">
        <v>1.58</v>
      </c>
      <c r="C64" s="1">
        <v>1.72</v>
      </c>
      <c r="D64" s="1">
        <v>0.41</v>
      </c>
      <c r="E64" s="1">
        <v>0.54</v>
      </c>
      <c r="F64" s="1">
        <v>1.9</v>
      </c>
      <c r="G64" s="1">
        <v>1.02</v>
      </c>
      <c r="H64" s="1">
        <v>1.21</v>
      </c>
      <c r="I64" s="1">
        <v>3.56</v>
      </c>
      <c r="J64" s="1">
        <v>0.98</v>
      </c>
      <c r="K64" s="1">
        <v>0.48</v>
      </c>
      <c r="L64" s="1">
        <v>1.53</v>
      </c>
      <c r="M64" s="1">
        <v>1.78</v>
      </c>
      <c r="N64" s="10">
        <f t="shared" si="11"/>
        <v>16.71</v>
      </c>
      <c r="P64" s="16">
        <f t="shared" si="6"/>
        <v>104.76489028213167</v>
      </c>
      <c r="Q64" s="1">
        <v>1987</v>
      </c>
      <c r="R64" s="9">
        <f t="shared" si="12"/>
        <v>14.2</v>
      </c>
      <c r="T64" s="6">
        <f t="shared" si="5"/>
        <v>163.59447004608293</v>
      </c>
      <c r="U64" s="9">
        <f t="shared" si="14"/>
        <v>22.07</v>
      </c>
      <c r="V64" s="6"/>
      <c r="W64" s="6">
        <f t="shared" si="13"/>
        <v>143.87222946544981</v>
      </c>
      <c r="X64" s="6"/>
      <c r="Y64" s="5">
        <f t="shared" si="2"/>
        <v>7.17</v>
      </c>
      <c r="Z64" s="5">
        <f t="shared" si="3"/>
        <v>3.79</v>
      </c>
      <c r="AB64" s="1">
        <f t="shared" si="4"/>
        <v>11.94</v>
      </c>
      <c r="AC64" s="1">
        <f t="shared" si="10"/>
        <v>4.7700000000000005</v>
      </c>
    </row>
    <row r="65" spans="1:29" ht="12" customHeight="1" x14ac:dyDescent="0.2">
      <c r="A65" s="1">
        <v>1988</v>
      </c>
      <c r="B65" s="1">
        <v>1.22</v>
      </c>
      <c r="C65" s="1">
        <v>0.3</v>
      </c>
      <c r="D65" s="1">
        <v>0.95</v>
      </c>
      <c r="E65" s="1">
        <v>1.76</v>
      </c>
      <c r="F65" s="1">
        <v>1.47</v>
      </c>
      <c r="G65" s="1">
        <v>1.84</v>
      </c>
      <c r="H65" s="1">
        <v>3.2</v>
      </c>
      <c r="I65" s="1">
        <v>4.2</v>
      </c>
      <c r="J65" s="1">
        <v>4.7</v>
      </c>
      <c r="K65" s="1">
        <v>1.53</v>
      </c>
      <c r="L65" s="1">
        <v>0.42</v>
      </c>
      <c r="M65" s="1">
        <v>0.32</v>
      </c>
      <c r="N65" s="10">
        <f t="shared" si="11"/>
        <v>21.91</v>
      </c>
      <c r="P65" s="16">
        <f t="shared" si="6"/>
        <v>137.36677115987462</v>
      </c>
      <c r="Q65" s="1">
        <v>1988</v>
      </c>
      <c r="R65" s="9">
        <f t="shared" si="12"/>
        <v>11.329999999999998</v>
      </c>
      <c r="T65" s="6">
        <f t="shared" si="5"/>
        <v>130.52995391705068</v>
      </c>
      <c r="U65" s="9">
        <f t="shared" si="14"/>
        <v>19.709999999999997</v>
      </c>
      <c r="V65" s="6"/>
      <c r="W65" s="6">
        <f t="shared" si="13"/>
        <v>128.48761408083439</v>
      </c>
      <c r="X65" s="6"/>
      <c r="Y65" s="5">
        <f t="shared" si="2"/>
        <v>7.5399999999999991</v>
      </c>
      <c r="Z65" s="5">
        <f t="shared" si="3"/>
        <v>2.27</v>
      </c>
      <c r="AB65" s="1">
        <f t="shared" si="4"/>
        <v>14.939999999999998</v>
      </c>
      <c r="AC65" s="1">
        <f t="shared" si="10"/>
        <v>6.9700000000000006</v>
      </c>
    </row>
    <row r="66" spans="1:29" ht="12" customHeight="1" x14ac:dyDescent="0.2">
      <c r="A66" s="1">
        <v>1989</v>
      </c>
      <c r="B66" s="1">
        <v>1.66</v>
      </c>
      <c r="C66" s="1">
        <v>1.28</v>
      </c>
      <c r="D66" s="1">
        <v>0.96</v>
      </c>
      <c r="E66" s="1">
        <v>0.14000000000000001</v>
      </c>
      <c r="F66" s="1">
        <v>0.72</v>
      </c>
      <c r="G66" s="1">
        <v>0.12</v>
      </c>
      <c r="H66" s="1">
        <v>2.97</v>
      </c>
      <c r="I66" s="1">
        <v>2.81</v>
      </c>
      <c r="J66" s="1">
        <v>2.35</v>
      </c>
      <c r="K66" s="1">
        <v>1.92</v>
      </c>
      <c r="L66" s="1">
        <v>0</v>
      </c>
      <c r="M66" s="1">
        <v>0.6</v>
      </c>
      <c r="N66" s="10">
        <f t="shared" si="11"/>
        <v>15.53</v>
      </c>
      <c r="P66" s="16">
        <f t="shared" si="6"/>
        <v>97.366771159874617</v>
      </c>
      <c r="Q66" s="1">
        <v>1989</v>
      </c>
      <c r="R66" s="9">
        <f t="shared" si="12"/>
        <v>7.15</v>
      </c>
      <c r="T66" s="6">
        <f t="shared" si="5"/>
        <v>82.373271889400925</v>
      </c>
      <c r="U66" s="9">
        <f t="shared" si="14"/>
        <v>17.630000000000003</v>
      </c>
      <c r="V66" s="6"/>
      <c r="W66" s="6">
        <f t="shared" si="13"/>
        <v>114.92829204693614</v>
      </c>
      <c r="X66" s="6"/>
      <c r="Y66" s="5">
        <f t="shared" si="2"/>
        <v>4.88</v>
      </c>
      <c r="Z66" s="5">
        <f t="shared" si="3"/>
        <v>2.52</v>
      </c>
      <c r="AB66" s="1">
        <f t="shared" si="4"/>
        <v>10.66</v>
      </c>
      <c r="AC66" s="1">
        <f t="shared" si="10"/>
        <v>4.8699999999999992</v>
      </c>
    </row>
    <row r="67" spans="1:29" ht="12" customHeight="1" x14ac:dyDescent="0.2">
      <c r="A67" s="1">
        <v>1990</v>
      </c>
      <c r="B67" s="1">
        <v>1.0900000000000001</v>
      </c>
      <c r="C67" s="1">
        <v>0.56999999999999995</v>
      </c>
      <c r="D67" s="1">
        <v>0.73</v>
      </c>
      <c r="E67" s="1">
        <v>1.49</v>
      </c>
      <c r="F67" s="1">
        <v>1.23</v>
      </c>
      <c r="G67" s="1">
        <v>0.71</v>
      </c>
      <c r="H67" s="1">
        <v>3.93</v>
      </c>
      <c r="I67" s="1">
        <v>1.1599999999999999</v>
      </c>
      <c r="J67" s="1">
        <v>1.93</v>
      </c>
      <c r="K67" s="1">
        <v>0.31</v>
      </c>
      <c r="L67" s="1">
        <v>1.38</v>
      </c>
      <c r="M67" s="1">
        <v>2.33</v>
      </c>
      <c r="N67" s="10">
        <f t="shared" si="11"/>
        <v>16.86</v>
      </c>
      <c r="P67" s="16">
        <f t="shared" si="6"/>
        <v>105.70532915360502</v>
      </c>
      <c r="Q67" s="1">
        <v>1990</v>
      </c>
      <c r="R67" s="9">
        <f t="shared" si="12"/>
        <v>8.34</v>
      </c>
      <c r="T67" s="6">
        <f t="shared" si="5"/>
        <v>96.082949308755758</v>
      </c>
      <c r="U67" s="9">
        <f t="shared" si="14"/>
        <v>15.78</v>
      </c>
      <c r="V67" s="6"/>
      <c r="W67" s="6">
        <f t="shared" si="13"/>
        <v>102.86831812255541</v>
      </c>
      <c r="X67" s="6"/>
      <c r="Y67" s="5">
        <f t="shared" si="2"/>
        <v>5.8199999999999994</v>
      </c>
      <c r="Z67" s="5">
        <f t="shared" si="3"/>
        <v>4.0199999999999996</v>
      </c>
      <c r="AB67" s="1">
        <f t="shared" si="4"/>
        <v>10.91</v>
      </c>
      <c r="AC67" s="1">
        <f t="shared" si="10"/>
        <v>5.9499999999999993</v>
      </c>
    </row>
    <row r="68" spans="1:29" ht="12" customHeight="1" x14ac:dyDescent="0.2">
      <c r="A68" s="1">
        <v>1991</v>
      </c>
      <c r="B68" s="1">
        <v>0.39</v>
      </c>
      <c r="C68" s="1">
        <v>0.32</v>
      </c>
      <c r="D68" s="1">
        <v>1.82</v>
      </c>
      <c r="E68" s="1">
        <v>0</v>
      </c>
      <c r="F68" s="1">
        <v>2.0499999999999998</v>
      </c>
      <c r="G68" s="1">
        <v>0.84</v>
      </c>
      <c r="H68" s="1">
        <v>3.55</v>
      </c>
      <c r="I68" s="1">
        <v>4.9800000000000004</v>
      </c>
      <c r="J68" s="1">
        <v>2.79</v>
      </c>
      <c r="K68" s="1">
        <v>0.42</v>
      </c>
      <c r="L68" s="1">
        <v>1.28</v>
      </c>
      <c r="M68" s="1">
        <v>2.09</v>
      </c>
      <c r="N68" s="10">
        <f t="shared" si="11"/>
        <v>20.53</v>
      </c>
      <c r="P68" s="16">
        <f t="shared" si="6"/>
        <v>128.71473354231978</v>
      </c>
      <c r="Q68" s="1">
        <v>1991</v>
      </c>
      <c r="R68" s="9">
        <f t="shared" si="12"/>
        <v>9.44</v>
      </c>
      <c r="T68" s="6">
        <f t="shared" si="5"/>
        <v>108.75576036866359</v>
      </c>
      <c r="U68" s="9">
        <f t="shared" si="14"/>
        <v>19.899999999999999</v>
      </c>
      <c r="V68" s="6"/>
      <c r="W68" s="6">
        <f t="shared" si="13"/>
        <v>129.72620599739244</v>
      </c>
      <c r="X68" s="6"/>
      <c r="Y68" s="5">
        <f t="shared" si="2"/>
        <v>5.42</v>
      </c>
      <c r="Z68" s="5">
        <f t="shared" si="3"/>
        <v>3.79</v>
      </c>
      <c r="AB68" s="1">
        <f t="shared" si="4"/>
        <v>13.95</v>
      </c>
      <c r="AC68" s="1">
        <f t="shared" si="10"/>
        <v>6.58</v>
      </c>
    </row>
    <row r="69" spans="1:29" ht="12" customHeight="1" x14ac:dyDescent="0.2">
      <c r="A69" s="1">
        <v>1992</v>
      </c>
      <c r="B69" s="1">
        <v>0.4</v>
      </c>
      <c r="C69" s="1">
        <v>0.5</v>
      </c>
      <c r="D69" s="1">
        <v>0.66</v>
      </c>
      <c r="E69" s="1">
        <v>0.71</v>
      </c>
      <c r="F69" s="1">
        <v>3.27</v>
      </c>
      <c r="G69" s="1">
        <v>0.75</v>
      </c>
      <c r="H69" s="1">
        <v>1.19</v>
      </c>
      <c r="I69" s="1">
        <v>1.88</v>
      </c>
      <c r="J69" s="1">
        <v>1.24</v>
      </c>
      <c r="K69" s="1">
        <v>0.22</v>
      </c>
      <c r="L69" s="1">
        <v>2.3199999999999998</v>
      </c>
      <c r="M69" s="1">
        <v>0.76</v>
      </c>
      <c r="N69" s="9">
        <f t="shared" si="11"/>
        <v>13.9</v>
      </c>
      <c r="O69" s="32">
        <f>N69/15.69</f>
        <v>0.88591459528362015</v>
      </c>
      <c r="P69" s="16">
        <f t="shared" si="6"/>
        <v>87.147335423197504</v>
      </c>
      <c r="Q69" s="1">
        <v>1992</v>
      </c>
      <c r="R69" s="9">
        <f t="shared" si="12"/>
        <v>10.08</v>
      </c>
      <c r="T69" s="6">
        <f t="shared" ref="T69:T78" si="15">(R69/8.68)*100</f>
        <v>116.12903225806453</v>
      </c>
      <c r="U69" s="9">
        <f t="shared" si="14"/>
        <v>15.94</v>
      </c>
      <c r="V69" s="6"/>
      <c r="W69" s="6">
        <f t="shared" si="13"/>
        <v>103.91134289439374</v>
      </c>
      <c r="X69" s="6"/>
      <c r="Y69" s="5">
        <f>SUM(B69:G69)</f>
        <v>6.29</v>
      </c>
      <c r="Z69" s="5">
        <f t="shared" si="3"/>
        <v>3.3</v>
      </c>
      <c r="AB69" s="1">
        <f t="shared" si="4"/>
        <v>9.36</v>
      </c>
      <c r="AC69" s="1">
        <f t="shared" ref="AC69:AC79" si="16">SUM(J69:M69)</f>
        <v>4.54</v>
      </c>
    </row>
    <row r="70" spans="1:29" ht="12" customHeight="1" x14ac:dyDescent="0.2">
      <c r="A70" s="1">
        <v>1993</v>
      </c>
      <c r="B70" s="1">
        <v>3.73</v>
      </c>
      <c r="C70" s="1">
        <v>1.65</v>
      </c>
      <c r="D70" s="1">
        <v>0.56999999999999995</v>
      </c>
      <c r="E70" s="1">
        <v>0.6</v>
      </c>
      <c r="F70" s="1">
        <v>1.65</v>
      </c>
      <c r="G70" s="1">
        <v>0.16</v>
      </c>
      <c r="H70" s="1">
        <v>3.06</v>
      </c>
      <c r="I70" s="1">
        <v>3.38</v>
      </c>
      <c r="J70" s="1">
        <v>3.58</v>
      </c>
      <c r="K70" s="1">
        <v>0.48</v>
      </c>
      <c r="L70" s="1">
        <v>1.56</v>
      </c>
      <c r="M70" s="5">
        <v>0.2</v>
      </c>
      <c r="N70" s="10">
        <f t="shared" si="11"/>
        <v>20.62</v>
      </c>
      <c r="O70" s="32">
        <f t="shared" ref="O70:O89" si="17">N70/15.69</f>
        <v>1.31421287444232</v>
      </c>
      <c r="P70" s="16">
        <f t="shared" si="6"/>
        <v>129.27899686520377</v>
      </c>
      <c r="Q70" s="1">
        <v>1993</v>
      </c>
      <c r="R70" s="9">
        <f t="shared" si="12"/>
        <v>11.66</v>
      </c>
      <c r="T70" s="6">
        <f t="shared" si="15"/>
        <v>134.33179723502303</v>
      </c>
      <c r="U70" s="9">
        <f t="shared" si="14"/>
        <v>19.34</v>
      </c>
      <c r="V70" s="6"/>
      <c r="W70" s="6">
        <f t="shared" si="13"/>
        <v>126.07561929595828</v>
      </c>
      <c r="X70" s="6"/>
      <c r="Y70" s="5">
        <f t="shared" ref="Y70:Y88" si="18">SUM(B70:G70)</f>
        <v>8.36</v>
      </c>
      <c r="Z70" s="5">
        <f t="shared" ref="Z70:Z90" si="19">SUM(K70:M70)</f>
        <v>2.2400000000000002</v>
      </c>
      <c r="AB70" s="1">
        <f t="shared" ref="AB70:AB79" si="20">SUM(B70:I70)</f>
        <v>14.8</v>
      </c>
      <c r="AC70" s="1">
        <f t="shared" si="16"/>
        <v>5.8200000000000012</v>
      </c>
    </row>
    <row r="71" spans="1:29" ht="12" customHeight="1" x14ac:dyDescent="0.2">
      <c r="A71" s="1">
        <v>1994</v>
      </c>
      <c r="B71" s="1">
        <v>0.14000000000000001</v>
      </c>
      <c r="C71" s="1">
        <v>1.39</v>
      </c>
      <c r="D71" s="5">
        <v>1</v>
      </c>
      <c r="E71" s="1">
        <v>1.62</v>
      </c>
      <c r="F71" s="1">
        <v>1.65</v>
      </c>
      <c r="G71" s="1">
        <v>0.27</v>
      </c>
      <c r="H71" s="1">
        <v>1.01</v>
      </c>
      <c r="I71" s="1">
        <v>2.42</v>
      </c>
      <c r="J71" s="1">
        <v>1.1100000000000001</v>
      </c>
      <c r="K71" s="1">
        <v>2.86</v>
      </c>
      <c r="L71" s="5">
        <v>2.2000000000000002</v>
      </c>
      <c r="M71" s="1">
        <v>0.88</v>
      </c>
      <c r="N71" s="10">
        <f t="shared" si="11"/>
        <v>16.549999999999997</v>
      </c>
      <c r="O71" s="32">
        <f t="shared" si="17"/>
        <v>1.0548119821542383</v>
      </c>
      <c r="P71" s="16">
        <f t="shared" si="6"/>
        <v>103.76175548589342</v>
      </c>
      <c r="Q71" s="1">
        <v>1994</v>
      </c>
      <c r="R71" s="9">
        <f t="shared" si="12"/>
        <v>8.31</v>
      </c>
      <c r="T71" s="6">
        <f t="shared" si="15"/>
        <v>95.7373271889401</v>
      </c>
      <c r="U71" s="9">
        <f t="shared" ref="U71:U89" si="21">SUM(AC70+AB71)</f>
        <v>15.32</v>
      </c>
      <c r="V71" s="6"/>
      <c r="W71" s="6">
        <f t="shared" si="13"/>
        <v>99.869621903520212</v>
      </c>
      <c r="X71" s="6"/>
      <c r="Y71" s="5">
        <f t="shared" si="18"/>
        <v>6.07</v>
      </c>
      <c r="Z71" s="5">
        <f t="shared" si="19"/>
        <v>5.94</v>
      </c>
      <c r="AB71" s="1">
        <f t="shared" si="20"/>
        <v>9.5</v>
      </c>
      <c r="AC71" s="1">
        <f t="shared" si="16"/>
        <v>7.05</v>
      </c>
    </row>
    <row r="72" spans="1:29" ht="12" customHeight="1" x14ac:dyDescent="0.2">
      <c r="A72" s="1">
        <v>1995</v>
      </c>
      <c r="B72" s="1">
        <v>1.47</v>
      </c>
      <c r="C72" s="1">
        <v>0.36</v>
      </c>
      <c r="D72" s="5">
        <v>1.2</v>
      </c>
      <c r="E72" s="1">
        <v>1.25</v>
      </c>
      <c r="F72" s="1">
        <v>1.93</v>
      </c>
      <c r="G72" s="1">
        <v>1.85</v>
      </c>
      <c r="H72" s="1">
        <v>2.09</v>
      </c>
      <c r="I72" s="1">
        <v>1.63</v>
      </c>
      <c r="J72" s="1">
        <v>1.59</v>
      </c>
      <c r="K72" s="1">
        <v>0</v>
      </c>
      <c r="L72" s="1">
        <v>0.13</v>
      </c>
      <c r="M72" s="5">
        <v>0.4</v>
      </c>
      <c r="N72" s="9">
        <f t="shared" si="11"/>
        <v>13.900000000000002</v>
      </c>
      <c r="O72" s="32">
        <f t="shared" si="17"/>
        <v>0.88591459528362027</v>
      </c>
      <c r="P72" s="16">
        <f t="shared" si="6"/>
        <v>87.147335423197518</v>
      </c>
      <c r="Q72" s="1">
        <v>1995</v>
      </c>
      <c r="R72" s="9">
        <f t="shared" si="12"/>
        <v>14</v>
      </c>
      <c r="T72" s="6">
        <f t="shared" si="15"/>
        <v>161.29032258064518</v>
      </c>
      <c r="U72" s="9">
        <f t="shared" si="21"/>
        <v>18.830000000000002</v>
      </c>
      <c r="V72" s="6"/>
      <c r="W72" s="6">
        <f t="shared" si="13"/>
        <v>122.75097783572362</v>
      </c>
      <c r="X72" s="6"/>
      <c r="Y72" s="5">
        <f t="shared" si="18"/>
        <v>8.06</v>
      </c>
      <c r="Z72" s="5">
        <f t="shared" si="19"/>
        <v>0.53</v>
      </c>
      <c r="AB72" s="1">
        <f t="shared" si="20"/>
        <v>11.780000000000001</v>
      </c>
      <c r="AC72" s="1">
        <f t="shared" si="16"/>
        <v>2.12</v>
      </c>
    </row>
    <row r="73" spans="1:29" ht="12" customHeight="1" x14ac:dyDescent="0.2">
      <c r="A73" s="1">
        <v>1996</v>
      </c>
      <c r="B73" s="1">
        <v>0.79</v>
      </c>
      <c r="C73" s="5">
        <v>0.6</v>
      </c>
      <c r="D73" s="1">
        <v>0.14000000000000001</v>
      </c>
      <c r="E73" s="1">
        <v>7.0000000000000007E-2</v>
      </c>
      <c r="F73" s="1">
        <v>0</v>
      </c>
      <c r="G73" s="1">
        <v>2.38</v>
      </c>
      <c r="H73" s="1">
        <v>2.57</v>
      </c>
      <c r="I73" s="1">
        <v>2.97</v>
      </c>
      <c r="J73" s="1">
        <v>1.45</v>
      </c>
      <c r="K73" s="1">
        <v>3.76</v>
      </c>
      <c r="L73" s="1">
        <v>0.41</v>
      </c>
      <c r="M73" s="1">
        <v>0.06</v>
      </c>
      <c r="N73" s="9">
        <f t="shared" si="11"/>
        <v>15.200000000000001</v>
      </c>
      <c r="O73" s="32">
        <f t="shared" si="17"/>
        <v>0.96876991714467819</v>
      </c>
      <c r="P73" s="16">
        <f t="shared" si="6"/>
        <v>95.297805642633236</v>
      </c>
      <c r="Q73" s="1">
        <v>1996</v>
      </c>
      <c r="R73" s="9">
        <f t="shared" si="12"/>
        <v>4.5100000000000007</v>
      </c>
      <c r="T73" s="6">
        <f t="shared" si="15"/>
        <v>51.958525345622128</v>
      </c>
      <c r="U73" s="9">
        <f t="shared" si="21"/>
        <v>11.64</v>
      </c>
      <c r="V73" s="6"/>
      <c r="W73" s="6">
        <f t="shared" si="13"/>
        <v>75.880052151238601</v>
      </c>
      <c r="X73" s="6"/>
      <c r="Y73" s="5">
        <f t="shared" si="18"/>
        <v>3.9800000000000004</v>
      </c>
      <c r="Z73" s="5">
        <f t="shared" si="19"/>
        <v>4.2299999999999995</v>
      </c>
      <c r="AB73" s="1">
        <f t="shared" si="20"/>
        <v>9.5200000000000014</v>
      </c>
      <c r="AC73" s="1">
        <f t="shared" si="16"/>
        <v>5.68</v>
      </c>
    </row>
    <row r="74" spans="1:29" ht="12" customHeight="1" x14ac:dyDescent="0.2">
      <c r="A74" s="1">
        <v>1997</v>
      </c>
      <c r="B74" s="5">
        <v>1.8</v>
      </c>
      <c r="C74" s="1">
        <v>1.51</v>
      </c>
      <c r="D74" s="1">
        <v>0.28000000000000003</v>
      </c>
      <c r="E74" s="5">
        <v>1.8</v>
      </c>
      <c r="F74" s="1">
        <v>0.66</v>
      </c>
      <c r="G74" s="1">
        <v>2.39</v>
      </c>
      <c r="H74" s="1">
        <v>2.19</v>
      </c>
      <c r="I74" s="1">
        <v>3.96</v>
      </c>
      <c r="J74" s="1">
        <v>2.4</v>
      </c>
      <c r="K74" s="1">
        <v>0.6</v>
      </c>
      <c r="L74" s="1">
        <v>1.1599999999999999</v>
      </c>
      <c r="M74" s="1">
        <v>1.6</v>
      </c>
      <c r="N74" s="10">
        <f t="shared" si="11"/>
        <v>20.350000000000001</v>
      </c>
      <c r="O74" s="32">
        <f t="shared" si="17"/>
        <v>1.2970044614404079</v>
      </c>
      <c r="P74" s="16">
        <f t="shared" si="6"/>
        <v>127.58620689655173</v>
      </c>
      <c r="Q74" s="1">
        <v>1997</v>
      </c>
      <c r="R74" s="9">
        <f t="shared" si="12"/>
        <v>12.669999999999998</v>
      </c>
      <c r="T74" s="6">
        <f t="shared" si="15"/>
        <v>145.96774193548384</v>
      </c>
      <c r="U74" s="9">
        <f t="shared" si="21"/>
        <v>20.27</v>
      </c>
      <c r="V74" s="6"/>
      <c r="W74" s="6">
        <f t="shared" si="13"/>
        <v>132.13820078226857</v>
      </c>
      <c r="X74" s="6"/>
      <c r="Y74" s="5">
        <f t="shared" si="18"/>
        <v>8.44</v>
      </c>
      <c r="Z74" s="5">
        <f t="shared" si="19"/>
        <v>3.36</v>
      </c>
      <c r="AB74" s="1">
        <f t="shared" si="20"/>
        <v>14.59</v>
      </c>
      <c r="AC74" s="1">
        <f t="shared" si="16"/>
        <v>5.76</v>
      </c>
    </row>
    <row r="75" spans="1:29" ht="12" customHeight="1" x14ac:dyDescent="0.2">
      <c r="A75" s="1">
        <v>1998</v>
      </c>
      <c r="B75" s="1">
        <v>0.03</v>
      </c>
      <c r="C75" s="1">
        <v>0.27</v>
      </c>
      <c r="D75" s="1">
        <v>1.57</v>
      </c>
      <c r="E75" s="1">
        <v>0.63</v>
      </c>
      <c r="F75" s="1">
        <v>0.01</v>
      </c>
      <c r="G75" s="5">
        <v>0.4</v>
      </c>
      <c r="H75" s="1">
        <v>2.56</v>
      </c>
      <c r="I75" s="1">
        <v>2.08</v>
      </c>
      <c r="J75" s="1">
        <v>0.77</v>
      </c>
      <c r="K75" s="1">
        <v>3.72</v>
      </c>
      <c r="L75" s="1">
        <v>0.34</v>
      </c>
      <c r="M75" s="1">
        <v>0.05</v>
      </c>
      <c r="N75" s="18">
        <f t="shared" si="11"/>
        <v>12.430000000000001</v>
      </c>
      <c r="O75" s="32">
        <f t="shared" si="17"/>
        <v>0.79222434671765463</v>
      </c>
      <c r="P75" s="16">
        <f t="shared" si="6"/>
        <v>77.931034482758633</v>
      </c>
      <c r="Q75" s="1">
        <v>1998</v>
      </c>
      <c r="R75" s="19">
        <f>SUM(Z74+Y75)</f>
        <v>6.27</v>
      </c>
      <c r="T75" s="6">
        <f t="shared" si="15"/>
        <v>72.235023041474662</v>
      </c>
      <c r="U75" s="19">
        <f t="shared" si="21"/>
        <v>13.309999999999999</v>
      </c>
      <c r="V75" s="6"/>
      <c r="W75" s="6">
        <f t="shared" si="13"/>
        <v>86.766623207301166</v>
      </c>
      <c r="X75" s="6"/>
      <c r="Y75" s="5">
        <f t="shared" si="18"/>
        <v>2.9099999999999997</v>
      </c>
      <c r="Z75" s="5">
        <f t="shared" si="19"/>
        <v>4.1100000000000003</v>
      </c>
      <c r="AB75" s="1">
        <f t="shared" si="20"/>
        <v>7.55</v>
      </c>
      <c r="AC75" s="1">
        <f t="shared" si="16"/>
        <v>4.88</v>
      </c>
    </row>
    <row r="76" spans="1:29" ht="12" customHeight="1" x14ac:dyDescent="0.2">
      <c r="A76" s="1">
        <v>1999</v>
      </c>
      <c r="B76" s="1">
        <v>0.13</v>
      </c>
      <c r="C76" s="1">
        <v>0.01</v>
      </c>
      <c r="D76" s="1">
        <v>1.33</v>
      </c>
      <c r="E76" s="1">
        <v>1.98</v>
      </c>
      <c r="F76" s="1">
        <v>1.61</v>
      </c>
      <c r="G76" s="1">
        <v>2.0699999999999998</v>
      </c>
      <c r="H76" s="1">
        <v>2.35</v>
      </c>
      <c r="I76" s="1">
        <v>2.74</v>
      </c>
      <c r="J76" s="1">
        <v>2.44</v>
      </c>
      <c r="K76" s="1">
        <v>0.51</v>
      </c>
      <c r="L76" s="1">
        <v>0.05</v>
      </c>
      <c r="M76" s="1">
        <v>0.34</v>
      </c>
      <c r="N76" s="18">
        <f t="shared" si="11"/>
        <v>15.56</v>
      </c>
      <c r="O76" s="32">
        <f t="shared" si="17"/>
        <v>0.99171446781389427</v>
      </c>
      <c r="P76" s="16">
        <f t="shared" ref="P76:P82" si="22">(N76/15.95)*100</f>
        <v>97.554858934169289</v>
      </c>
      <c r="Q76" s="1">
        <v>1999</v>
      </c>
      <c r="R76" s="19">
        <f t="shared" si="12"/>
        <v>11.240000000000002</v>
      </c>
      <c r="T76" s="6">
        <f t="shared" si="15"/>
        <v>129.4930875576037</v>
      </c>
      <c r="U76" s="19">
        <f t="shared" si="21"/>
        <v>17.100000000000001</v>
      </c>
      <c r="V76" s="6"/>
      <c r="W76" s="6">
        <f t="shared" si="13"/>
        <v>111.47327249022166</v>
      </c>
      <c r="X76" s="6"/>
      <c r="Y76" s="5">
        <f t="shared" si="18"/>
        <v>7.1300000000000008</v>
      </c>
      <c r="Z76" s="5">
        <f t="shared" si="19"/>
        <v>0.90000000000000013</v>
      </c>
      <c r="AB76" s="1">
        <f t="shared" si="20"/>
        <v>12.22</v>
      </c>
      <c r="AC76" s="1">
        <f t="shared" si="16"/>
        <v>3.34</v>
      </c>
    </row>
    <row r="77" spans="1:29" ht="12" customHeight="1" x14ac:dyDescent="0.2">
      <c r="A77" s="1">
        <v>2000</v>
      </c>
      <c r="B77" s="1">
        <v>0.36</v>
      </c>
      <c r="C77" s="1">
        <v>1.4999999999999999E-2</v>
      </c>
      <c r="D77" s="1">
        <v>0.89</v>
      </c>
      <c r="E77" s="1">
        <v>0.36</v>
      </c>
      <c r="F77" s="1">
        <v>0.01</v>
      </c>
      <c r="G77" s="1">
        <v>1.77</v>
      </c>
      <c r="H77" s="1">
        <v>1.1499999999999999</v>
      </c>
      <c r="I77" s="1">
        <v>3.47</v>
      </c>
      <c r="J77" s="1">
        <v>0.36</v>
      </c>
      <c r="K77" s="1">
        <v>3.48</v>
      </c>
      <c r="L77" s="1">
        <v>1.76</v>
      </c>
      <c r="M77" s="1">
        <v>0.25</v>
      </c>
      <c r="N77" s="19">
        <f t="shared" si="11"/>
        <v>13.875</v>
      </c>
      <c r="O77" s="32">
        <f t="shared" si="17"/>
        <v>0.88432122370936905</v>
      </c>
      <c r="P77" s="16">
        <f t="shared" si="22"/>
        <v>86.990595611285272</v>
      </c>
      <c r="Q77" s="1">
        <v>2000</v>
      </c>
      <c r="R77" s="19">
        <f t="shared" si="12"/>
        <v>4.3050000000000006</v>
      </c>
      <c r="T77" s="6">
        <f t="shared" si="15"/>
        <v>49.596774193548391</v>
      </c>
      <c r="U77" s="19">
        <f t="shared" si="21"/>
        <v>11.365</v>
      </c>
      <c r="V77" s="6"/>
      <c r="W77" s="6">
        <f t="shared" si="13"/>
        <v>74.087353324641455</v>
      </c>
      <c r="X77" s="6"/>
      <c r="Y77" s="5">
        <f t="shared" si="18"/>
        <v>3.4050000000000002</v>
      </c>
      <c r="Z77" s="5">
        <f t="shared" si="19"/>
        <v>5.49</v>
      </c>
      <c r="AB77" s="5">
        <f t="shared" si="20"/>
        <v>8.0250000000000004</v>
      </c>
      <c r="AC77" s="1">
        <f t="shared" si="16"/>
        <v>5.85</v>
      </c>
    </row>
    <row r="78" spans="1:29" ht="12" customHeight="1" x14ac:dyDescent="0.2">
      <c r="A78" s="1">
        <v>2001</v>
      </c>
      <c r="B78" s="5">
        <v>1.6</v>
      </c>
      <c r="C78" s="5">
        <v>0.6</v>
      </c>
      <c r="D78" s="1">
        <v>0.55000000000000004</v>
      </c>
      <c r="E78" s="1">
        <v>0.6</v>
      </c>
      <c r="F78" s="1">
        <v>0.69</v>
      </c>
      <c r="G78" s="1">
        <v>0.42</v>
      </c>
      <c r="H78" s="1">
        <v>2.21</v>
      </c>
      <c r="I78" s="1">
        <v>2.08</v>
      </c>
      <c r="J78" s="1">
        <v>0.42</v>
      </c>
      <c r="K78" s="1">
        <v>0.27</v>
      </c>
      <c r="L78" s="1">
        <v>0.26</v>
      </c>
      <c r="M78" s="1">
        <v>0.24</v>
      </c>
      <c r="N78" s="18">
        <f t="shared" si="11"/>
        <v>9.94</v>
      </c>
      <c r="O78" s="32">
        <f t="shared" si="17"/>
        <v>0.6335245379222435</v>
      </c>
      <c r="P78" s="16">
        <f t="shared" si="22"/>
        <v>62.319749216300934</v>
      </c>
      <c r="Q78" s="1">
        <v>2001</v>
      </c>
      <c r="R78" s="19">
        <f t="shared" si="12"/>
        <v>9.9499999999999993</v>
      </c>
      <c r="T78" s="6">
        <f t="shared" si="15"/>
        <v>114.63133640552996</v>
      </c>
      <c r="U78" s="19">
        <f t="shared" si="21"/>
        <v>14.6</v>
      </c>
      <c r="V78" s="6"/>
      <c r="W78" s="6">
        <f t="shared" si="13"/>
        <v>95.176010430247715</v>
      </c>
      <c r="X78" s="6"/>
      <c r="Y78" s="5">
        <f t="shared" si="18"/>
        <v>4.46</v>
      </c>
      <c r="Z78" s="5">
        <f t="shared" si="19"/>
        <v>0.77</v>
      </c>
      <c r="AB78" s="1">
        <f t="shared" si="20"/>
        <v>8.75</v>
      </c>
      <c r="AC78" s="1">
        <f t="shared" si="16"/>
        <v>1.19</v>
      </c>
    </row>
    <row r="79" spans="1:29" ht="12" customHeight="1" x14ac:dyDescent="0.2">
      <c r="A79" s="1">
        <v>2002</v>
      </c>
      <c r="B79" s="1">
        <v>0.61</v>
      </c>
      <c r="C79" s="1">
        <v>0.06</v>
      </c>
      <c r="D79" s="1">
        <v>0</v>
      </c>
      <c r="E79" s="1">
        <v>0.17</v>
      </c>
      <c r="F79" s="1">
        <v>7.0000000000000007E-2</v>
      </c>
      <c r="G79" s="1">
        <v>0.36</v>
      </c>
      <c r="H79" s="1">
        <v>0.68</v>
      </c>
      <c r="I79" s="1">
        <v>0.97</v>
      </c>
      <c r="J79" s="1">
        <v>1.66</v>
      </c>
      <c r="K79" s="5">
        <v>1.9</v>
      </c>
      <c r="L79" s="1">
        <v>0.77</v>
      </c>
      <c r="M79" s="5">
        <v>0.8</v>
      </c>
      <c r="N79" s="10">
        <f t="shared" si="11"/>
        <v>8.0500000000000007</v>
      </c>
      <c r="O79" s="32">
        <f t="shared" si="17"/>
        <v>0.51306564690885925</v>
      </c>
      <c r="P79" s="16">
        <f t="shared" si="22"/>
        <v>50.470219435736688</v>
      </c>
      <c r="Q79" s="1">
        <v>2002</v>
      </c>
      <c r="R79" s="19">
        <f>SUM(Z78+Y79)</f>
        <v>2.04</v>
      </c>
      <c r="T79" s="6">
        <f>(R79/8.68)*100</f>
        <v>23.502304147465438</v>
      </c>
      <c r="U79" s="19">
        <f t="shared" si="21"/>
        <v>4.1099999999999994</v>
      </c>
      <c r="V79" s="6"/>
      <c r="W79" s="6">
        <f>(U79/15.34)*100</f>
        <v>26.792698826597128</v>
      </c>
      <c r="X79" s="6"/>
      <c r="Y79" s="5">
        <f t="shared" si="18"/>
        <v>1.27</v>
      </c>
      <c r="Z79" s="5">
        <f t="shared" si="19"/>
        <v>3.4699999999999998</v>
      </c>
      <c r="AB79" s="1">
        <f t="shared" si="20"/>
        <v>2.92</v>
      </c>
      <c r="AC79" s="1">
        <f t="shared" si="16"/>
        <v>5.13</v>
      </c>
    </row>
    <row r="80" spans="1:29" ht="12" customHeight="1" x14ac:dyDescent="0.2">
      <c r="A80" s="1">
        <v>2003</v>
      </c>
      <c r="B80" s="5">
        <v>0</v>
      </c>
      <c r="C80" s="5">
        <v>0.90500000000000003</v>
      </c>
      <c r="D80" s="5">
        <v>0.78</v>
      </c>
      <c r="E80" s="5">
        <v>0.18</v>
      </c>
      <c r="F80" s="1">
        <v>1.7</v>
      </c>
      <c r="G80" s="1">
        <v>0.27</v>
      </c>
      <c r="H80" s="1">
        <v>0.26</v>
      </c>
      <c r="I80" s="1">
        <v>2.2000000000000002</v>
      </c>
      <c r="J80" s="1">
        <v>0.41</v>
      </c>
      <c r="K80" s="1">
        <v>1.05</v>
      </c>
      <c r="L80" s="1">
        <v>0.79</v>
      </c>
      <c r="M80" s="1">
        <v>0.22</v>
      </c>
      <c r="N80" s="9">
        <f t="shared" ref="N80:N85" si="23">SUM(B80:M80)</f>
        <v>8.7650000000000006</v>
      </c>
      <c r="O80" s="32">
        <f t="shared" si="17"/>
        <v>0.55863607393244108</v>
      </c>
      <c r="P80" s="16">
        <f t="shared" si="22"/>
        <v>54.952978056426339</v>
      </c>
      <c r="Q80" s="1">
        <f>Q79+1</f>
        <v>2003</v>
      </c>
      <c r="R80" s="31">
        <f t="shared" ref="R80:R89" si="24">SUM(Z79+Y80)</f>
        <v>7.3049999999999997</v>
      </c>
      <c r="U80" s="31">
        <f t="shared" si="21"/>
        <v>11.425000000000001</v>
      </c>
      <c r="Y80" s="5">
        <f t="shared" si="18"/>
        <v>3.835</v>
      </c>
      <c r="Z80" s="5">
        <f t="shared" si="19"/>
        <v>2.06</v>
      </c>
      <c r="AB80" s="5">
        <f t="shared" ref="AB80:AB88" si="25">SUM(B80:I80)</f>
        <v>6.2949999999999999</v>
      </c>
      <c r="AC80" s="1">
        <f t="shared" ref="AC80:AC90" si="26">SUM(J80:M80)</f>
        <v>2.4700000000000002</v>
      </c>
    </row>
    <row r="81" spans="1:29" ht="12" customHeight="1" x14ac:dyDescent="0.2">
      <c r="A81" s="1">
        <v>2004</v>
      </c>
      <c r="B81" s="1">
        <v>0.81</v>
      </c>
      <c r="C81" s="1">
        <v>1.41</v>
      </c>
      <c r="D81" s="1">
        <v>1.26</v>
      </c>
      <c r="E81" s="5">
        <v>3.4</v>
      </c>
      <c r="F81" s="1">
        <v>0</v>
      </c>
      <c r="G81" s="1">
        <v>0.52</v>
      </c>
      <c r="H81" s="1">
        <v>2.23</v>
      </c>
      <c r="I81" s="1">
        <v>1.66</v>
      </c>
      <c r="J81" s="1">
        <v>0.89</v>
      </c>
      <c r="K81" s="1">
        <v>2.66</v>
      </c>
      <c r="L81" s="1">
        <v>1.1399999999999999</v>
      </c>
      <c r="M81" s="1">
        <v>0.57999999999999996</v>
      </c>
      <c r="N81" s="9">
        <f t="shared" si="23"/>
        <v>16.559999999999999</v>
      </c>
      <c r="O81" s="32">
        <f t="shared" si="17"/>
        <v>1.0554493307839388</v>
      </c>
      <c r="P81" s="16">
        <f t="shared" si="22"/>
        <v>103.8244514106583</v>
      </c>
      <c r="Q81" s="1">
        <f>Q80+1</f>
        <v>2004</v>
      </c>
      <c r="R81" s="31">
        <f t="shared" si="24"/>
        <v>9.4599999999999991</v>
      </c>
      <c r="U81" s="31">
        <f t="shared" si="21"/>
        <v>13.76</v>
      </c>
      <c r="Y81" s="5">
        <f t="shared" si="18"/>
        <v>7.3999999999999986</v>
      </c>
      <c r="Z81" s="5">
        <f t="shared" si="19"/>
        <v>4.38</v>
      </c>
      <c r="AB81" s="1">
        <f t="shared" si="25"/>
        <v>11.29</v>
      </c>
      <c r="AC81" s="1">
        <f t="shared" si="26"/>
        <v>5.2700000000000005</v>
      </c>
    </row>
    <row r="82" spans="1:29" x14ac:dyDescent="0.2">
      <c r="A82" s="1">
        <v>2005</v>
      </c>
      <c r="B82" s="1">
        <v>2.0299999999999998</v>
      </c>
      <c r="C82" s="1">
        <v>1.76</v>
      </c>
      <c r="D82" s="1">
        <v>1.81</v>
      </c>
      <c r="E82" s="1">
        <v>1.46</v>
      </c>
      <c r="F82" s="1">
        <v>0.69</v>
      </c>
      <c r="G82" s="1">
        <v>0.6</v>
      </c>
      <c r="H82" s="1">
        <v>0.92</v>
      </c>
      <c r="I82" s="1">
        <v>3.33</v>
      </c>
      <c r="J82" s="1">
        <v>3.49</v>
      </c>
      <c r="K82" s="1">
        <v>1.51</v>
      </c>
      <c r="L82" s="1">
        <v>0.05</v>
      </c>
      <c r="M82" s="1">
        <v>0</v>
      </c>
      <c r="N82" s="9">
        <f t="shared" si="23"/>
        <v>17.650000000000002</v>
      </c>
      <c r="O82" s="32">
        <f t="shared" si="17"/>
        <v>1.1249203314212877</v>
      </c>
      <c r="P82" s="16">
        <f t="shared" si="22"/>
        <v>110.65830721003135</v>
      </c>
      <c r="Q82" s="1">
        <f>Q81+1</f>
        <v>2005</v>
      </c>
      <c r="R82" s="31">
        <f t="shared" si="24"/>
        <v>12.73</v>
      </c>
      <c r="U82" s="31">
        <f t="shared" si="21"/>
        <v>17.87</v>
      </c>
      <c r="Y82" s="5">
        <f t="shared" si="18"/>
        <v>8.35</v>
      </c>
      <c r="Z82" s="5">
        <f t="shared" si="19"/>
        <v>1.56</v>
      </c>
      <c r="AB82" s="1">
        <f t="shared" si="25"/>
        <v>12.6</v>
      </c>
      <c r="AC82" s="1">
        <f t="shared" si="26"/>
        <v>5.05</v>
      </c>
    </row>
    <row r="83" spans="1:29" x14ac:dyDescent="0.2">
      <c r="A83" s="1">
        <v>2006</v>
      </c>
      <c r="B83" s="1">
        <v>7.0000000000000007E-2</v>
      </c>
      <c r="C83" s="1">
        <v>0</v>
      </c>
      <c r="D83" s="1">
        <v>0.44</v>
      </c>
      <c r="E83" s="1">
        <v>0.2</v>
      </c>
      <c r="F83" s="1">
        <v>0.31</v>
      </c>
      <c r="G83" s="1">
        <v>0.8</v>
      </c>
      <c r="H83" s="1">
        <v>3.01</v>
      </c>
      <c r="I83" s="1">
        <v>5.1100000000000003</v>
      </c>
      <c r="J83" s="1">
        <v>0.84</v>
      </c>
      <c r="K83" s="1">
        <v>1.98</v>
      </c>
      <c r="L83" s="1">
        <v>0.21</v>
      </c>
      <c r="M83" s="1">
        <v>1.53</v>
      </c>
      <c r="N83" s="9">
        <f t="shared" si="23"/>
        <v>14.500000000000002</v>
      </c>
      <c r="O83" s="32">
        <f t="shared" si="17"/>
        <v>0.92415551306564703</v>
      </c>
      <c r="P83" s="16">
        <f>(N83/15.95)*100</f>
        <v>90.909090909090935</v>
      </c>
      <c r="Q83" s="1">
        <f>Q82+1</f>
        <v>2006</v>
      </c>
      <c r="R83" s="31">
        <f t="shared" si="24"/>
        <v>3.38</v>
      </c>
      <c r="U83" s="31">
        <f t="shared" si="21"/>
        <v>14.990000000000002</v>
      </c>
      <c r="Y83" s="5">
        <f t="shared" si="18"/>
        <v>1.82</v>
      </c>
      <c r="Z83" s="5">
        <f t="shared" si="19"/>
        <v>3.7199999999999998</v>
      </c>
      <c r="AB83" s="1">
        <f t="shared" si="25"/>
        <v>9.9400000000000013</v>
      </c>
      <c r="AC83" s="1">
        <f t="shared" si="26"/>
        <v>4.5599999999999996</v>
      </c>
    </row>
    <row r="84" spans="1:29" x14ac:dyDescent="0.2">
      <c r="A84" s="1">
        <v>2007</v>
      </c>
      <c r="B84" s="1">
        <v>0.51</v>
      </c>
      <c r="C84" s="1">
        <v>0.56999999999999995</v>
      </c>
      <c r="D84" s="1">
        <v>0.96</v>
      </c>
      <c r="E84" s="1">
        <v>0.69</v>
      </c>
      <c r="F84" s="1">
        <v>0.97</v>
      </c>
      <c r="G84" s="1">
        <v>0.95</v>
      </c>
      <c r="H84" s="1">
        <v>2.25</v>
      </c>
      <c r="I84" s="1">
        <v>1.4</v>
      </c>
      <c r="J84" s="1">
        <v>1.6</v>
      </c>
      <c r="K84" s="1">
        <v>0.21</v>
      </c>
      <c r="L84" s="1">
        <v>1.87</v>
      </c>
      <c r="M84" s="1">
        <v>2.0099999999999998</v>
      </c>
      <c r="N84" s="9">
        <f t="shared" si="23"/>
        <v>13.99</v>
      </c>
      <c r="O84" s="32">
        <f t="shared" si="17"/>
        <v>0.89165073295092423</v>
      </c>
      <c r="P84" s="16"/>
      <c r="R84" s="31">
        <f t="shared" si="24"/>
        <v>8.370000000000001</v>
      </c>
      <c r="U84" s="31">
        <f t="shared" si="21"/>
        <v>12.86</v>
      </c>
      <c r="Y84" s="5">
        <f t="shared" si="18"/>
        <v>4.6500000000000004</v>
      </c>
      <c r="Z84" s="5">
        <f t="shared" si="19"/>
        <v>4.09</v>
      </c>
      <c r="AB84" s="1">
        <f t="shared" si="25"/>
        <v>8.3000000000000007</v>
      </c>
      <c r="AC84" s="1">
        <f t="shared" si="26"/>
        <v>5.6899999999999995</v>
      </c>
    </row>
    <row r="85" spans="1:29" x14ac:dyDescent="0.2">
      <c r="A85" s="1">
        <v>2008</v>
      </c>
      <c r="B85" s="1">
        <v>1.34</v>
      </c>
      <c r="C85" s="1">
        <v>0.81</v>
      </c>
      <c r="D85" s="1">
        <v>0.8</v>
      </c>
      <c r="E85" s="1">
        <v>0.24</v>
      </c>
      <c r="F85" s="1">
        <v>0.96</v>
      </c>
      <c r="G85" s="1">
        <v>0.16</v>
      </c>
      <c r="H85" s="1">
        <v>2.36</v>
      </c>
      <c r="I85" s="1">
        <v>3.73</v>
      </c>
      <c r="J85" s="1">
        <v>0.96</v>
      </c>
      <c r="K85" s="1">
        <v>1.94</v>
      </c>
      <c r="L85" s="1">
        <v>0.44</v>
      </c>
      <c r="M85" s="1">
        <v>1.66</v>
      </c>
      <c r="N85" s="9">
        <f t="shared" si="23"/>
        <v>15.399999999999999</v>
      </c>
      <c r="O85" s="32">
        <f t="shared" si="17"/>
        <v>0.981516889738687</v>
      </c>
      <c r="P85" s="16"/>
      <c r="R85" s="31">
        <f t="shared" si="24"/>
        <v>8.4</v>
      </c>
      <c r="U85" s="31">
        <f t="shared" si="21"/>
        <v>16.09</v>
      </c>
      <c r="Y85" s="5">
        <f t="shared" si="18"/>
        <v>4.3100000000000005</v>
      </c>
      <c r="Z85" s="5">
        <f t="shared" si="19"/>
        <v>4.04</v>
      </c>
      <c r="AB85" s="1">
        <f t="shared" si="25"/>
        <v>10.4</v>
      </c>
      <c r="AC85" s="1">
        <f t="shared" si="26"/>
        <v>5</v>
      </c>
    </row>
    <row r="86" spans="1:29" x14ac:dyDescent="0.2">
      <c r="A86" s="1">
        <v>2009</v>
      </c>
      <c r="B86" s="1">
        <v>0.21</v>
      </c>
      <c r="C86" s="1">
        <v>0</v>
      </c>
      <c r="D86" s="1">
        <v>0.68</v>
      </c>
      <c r="E86" s="1">
        <v>1.19</v>
      </c>
      <c r="F86" s="1">
        <v>1.33</v>
      </c>
      <c r="G86" s="1">
        <v>1.6</v>
      </c>
      <c r="H86" s="1">
        <v>3.18</v>
      </c>
      <c r="I86" s="1">
        <v>1.07</v>
      </c>
      <c r="J86" s="1">
        <v>2.2200000000000002</v>
      </c>
      <c r="K86" s="14">
        <v>1.33</v>
      </c>
      <c r="L86" s="13">
        <v>0.25</v>
      </c>
      <c r="M86" s="13">
        <v>0.89</v>
      </c>
      <c r="N86" s="9">
        <f>SUM(B86:M86)</f>
        <v>13.950000000000001</v>
      </c>
      <c r="O86" s="32">
        <f t="shared" si="17"/>
        <v>0.88910133843212247</v>
      </c>
      <c r="P86" s="16"/>
      <c r="R86" s="31">
        <f t="shared" si="24"/>
        <v>9.0500000000000007</v>
      </c>
      <c r="U86" s="31">
        <f t="shared" si="21"/>
        <v>14.26</v>
      </c>
      <c r="Y86" s="5">
        <f t="shared" si="18"/>
        <v>5.01</v>
      </c>
      <c r="Z86" s="5">
        <f t="shared" si="19"/>
        <v>2.4700000000000002</v>
      </c>
      <c r="AB86" s="1">
        <f t="shared" si="25"/>
        <v>9.26</v>
      </c>
      <c r="AC86" s="1">
        <f t="shared" si="26"/>
        <v>4.6900000000000004</v>
      </c>
    </row>
    <row r="87" spans="1:29" x14ac:dyDescent="0.2">
      <c r="A87" s="1">
        <v>2010</v>
      </c>
      <c r="B87" s="1">
        <v>1.4</v>
      </c>
      <c r="C87" s="1">
        <v>1.07</v>
      </c>
      <c r="D87" s="1">
        <v>1.6</v>
      </c>
      <c r="E87" s="1">
        <v>0.75</v>
      </c>
      <c r="F87" s="1">
        <v>0.54</v>
      </c>
      <c r="G87" s="1">
        <v>0.38</v>
      </c>
      <c r="H87" s="1">
        <v>3.9</v>
      </c>
      <c r="I87" s="1">
        <v>1.07</v>
      </c>
      <c r="J87" s="1">
        <v>0.96</v>
      </c>
      <c r="K87" s="14">
        <v>1.22</v>
      </c>
      <c r="L87" s="13">
        <v>0.03</v>
      </c>
      <c r="M87" s="13">
        <v>1.3</v>
      </c>
      <c r="N87" s="9">
        <f>SUM(B87:M87)</f>
        <v>14.220000000000002</v>
      </c>
      <c r="O87" s="32">
        <f t="shared" si="17"/>
        <v>0.90630975143403458</v>
      </c>
      <c r="P87" s="16"/>
      <c r="R87" s="31">
        <f t="shared" si="24"/>
        <v>8.2100000000000009</v>
      </c>
      <c r="U87" s="31">
        <f t="shared" si="21"/>
        <v>15.400000000000002</v>
      </c>
      <c r="Y87" s="5">
        <f t="shared" si="18"/>
        <v>5.74</v>
      </c>
      <c r="Z87" s="5">
        <f t="shared" si="19"/>
        <v>2.5499999999999998</v>
      </c>
      <c r="AB87" s="1">
        <f t="shared" si="25"/>
        <v>10.71</v>
      </c>
      <c r="AC87" s="1">
        <f t="shared" si="26"/>
        <v>3.51</v>
      </c>
    </row>
    <row r="88" spans="1:29" x14ac:dyDescent="0.2">
      <c r="A88" s="1">
        <v>2011</v>
      </c>
      <c r="B88" s="1">
        <v>0</v>
      </c>
      <c r="C88" s="1">
        <v>0.16</v>
      </c>
      <c r="D88" s="1">
        <v>0.03</v>
      </c>
      <c r="E88" s="1">
        <v>0.13</v>
      </c>
      <c r="F88" s="1">
        <v>0.08</v>
      </c>
      <c r="G88" s="1">
        <v>0.03</v>
      </c>
      <c r="H88" s="1">
        <v>1.33</v>
      </c>
      <c r="I88" s="1">
        <v>2.5499999999999998</v>
      </c>
      <c r="J88" s="1">
        <v>1.44</v>
      </c>
      <c r="K88" s="14">
        <v>1.6</v>
      </c>
      <c r="L88" s="13">
        <v>0.28999999999999998</v>
      </c>
      <c r="M88" s="13">
        <v>1.59</v>
      </c>
      <c r="N88" s="9">
        <f t="shared" ref="N88:N95" si="27">SUM(B88:M88)</f>
        <v>9.23</v>
      </c>
      <c r="O88" s="32">
        <f t="shared" si="17"/>
        <v>0.58827278521351178</v>
      </c>
      <c r="P88" s="16"/>
      <c r="R88" s="31">
        <f t="shared" si="24"/>
        <v>2.98</v>
      </c>
      <c r="U88" s="31">
        <f t="shared" si="21"/>
        <v>7.82</v>
      </c>
      <c r="Y88" s="5">
        <f t="shared" si="18"/>
        <v>0.43000000000000005</v>
      </c>
      <c r="Z88" s="5">
        <f t="shared" si="19"/>
        <v>3.4800000000000004</v>
      </c>
      <c r="AB88" s="1">
        <f t="shared" si="25"/>
        <v>4.3100000000000005</v>
      </c>
      <c r="AC88" s="1">
        <f t="shared" si="26"/>
        <v>4.92</v>
      </c>
    </row>
    <row r="89" spans="1:29" x14ac:dyDescent="0.2">
      <c r="A89" s="1">
        <v>2012</v>
      </c>
      <c r="B89" s="1">
        <v>0.19</v>
      </c>
      <c r="C89" s="1">
        <v>0.05</v>
      </c>
      <c r="D89" s="1">
        <v>0.24</v>
      </c>
      <c r="E89" s="1">
        <v>0.79</v>
      </c>
      <c r="F89" s="1">
        <v>0.56999999999999995</v>
      </c>
      <c r="G89" s="1">
        <v>0.04</v>
      </c>
      <c r="H89" s="1">
        <v>1.1100000000000001</v>
      </c>
      <c r="I89" s="1">
        <v>0.96</v>
      </c>
      <c r="J89" s="5">
        <v>1.395</v>
      </c>
      <c r="K89" s="14">
        <v>0.15</v>
      </c>
      <c r="L89" s="13">
        <v>0.16</v>
      </c>
      <c r="M89" s="13">
        <v>0.75</v>
      </c>
      <c r="N89" s="9">
        <f t="shared" si="27"/>
        <v>6.4050000000000011</v>
      </c>
      <c r="O89" s="32">
        <f t="shared" si="17"/>
        <v>0.40822179732313585</v>
      </c>
      <c r="P89" s="16"/>
      <c r="R89" s="31">
        <f t="shared" si="24"/>
        <v>5.36</v>
      </c>
      <c r="U89" s="31">
        <f t="shared" si="21"/>
        <v>8.870000000000001</v>
      </c>
      <c r="Y89" s="5">
        <f t="shared" ref="Y89:Y98" si="28">SUM(B89:G89)</f>
        <v>1.88</v>
      </c>
      <c r="Z89" s="5">
        <f t="shared" si="19"/>
        <v>1.06</v>
      </c>
      <c r="AB89" s="1">
        <f>SUM(B89:I89)</f>
        <v>3.95</v>
      </c>
      <c r="AC89" s="5">
        <f t="shared" si="26"/>
        <v>2.4550000000000001</v>
      </c>
    </row>
    <row r="90" spans="1:29" x14ac:dyDescent="0.2">
      <c r="A90" s="1">
        <v>2013</v>
      </c>
      <c r="B90" s="1">
        <v>0.34</v>
      </c>
      <c r="C90" s="1">
        <v>0.2</v>
      </c>
      <c r="D90" s="1">
        <v>0.16</v>
      </c>
      <c r="E90" s="1">
        <v>0.15</v>
      </c>
      <c r="F90" s="1">
        <v>0.01</v>
      </c>
      <c r="G90" s="1">
        <v>0.21</v>
      </c>
      <c r="H90" s="1">
        <v>2.2000000000000002</v>
      </c>
      <c r="I90" s="1">
        <v>0.63</v>
      </c>
      <c r="J90" s="33">
        <v>7.88</v>
      </c>
      <c r="K90" s="1">
        <v>0.66</v>
      </c>
      <c r="L90" s="14">
        <v>2.39</v>
      </c>
      <c r="M90" s="13">
        <v>0.11</v>
      </c>
      <c r="N90" s="9">
        <f t="shared" si="27"/>
        <v>14.940000000000001</v>
      </c>
      <c r="O90" s="32">
        <f>N90/15.67</f>
        <v>0.9534141671984685</v>
      </c>
      <c r="P90" s="16"/>
      <c r="R90" s="31"/>
      <c r="U90" s="31"/>
      <c r="Y90" s="5">
        <f t="shared" si="28"/>
        <v>1.07</v>
      </c>
      <c r="Z90" s="5">
        <f t="shared" si="19"/>
        <v>3.16</v>
      </c>
      <c r="AB90" s="1">
        <f>SUM(B90:I90)</f>
        <v>3.9000000000000004</v>
      </c>
      <c r="AC90" s="5">
        <f t="shared" si="26"/>
        <v>11.04</v>
      </c>
    </row>
    <row r="91" spans="1:29" x14ac:dyDescent="0.2">
      <c r="A91" s="1">
        <v>2014</v>
      </c>
      <c r="B91" s="1">
        <v>0</v>
      </c>
      <c r="C91" s="5">
        <v>0.11</v>
      </c>
      <c r="D91" s="5">
        <v>0.57999999999999996</v>
      </c>
      <c r="E91" s="5">
        <v>0.16</v>
      </c>
      <c r="F91" s="5">
        <v>0.74</v>
      </c>
      <c r="G91" s="5">
        <v>0.63</v>
      </c>
      <c r="H91" s="5">
        <v>5.48</v>
      </c>
      <c r="I91" s="5">
        <v>0.81</v>
      </c>
      <c r="J91" s="5">
        <v>1.08</v>
      </c>
      <c r="K91" s="1">
        <v>0.37</v>
      </c>
      <c r="L91" s="1">
        <v>0.82</v>
      </c>
      <c r="M91" s="1">
        <v>0.84</v>
      </c>
      <c r="N91" s="9">
        <f t="shared" si="27"/>
        <v>11.62</v>
      </c>
      <c r="O91" s="32">
        <f>N91/SUM(B105:M105)</f>
        <v>0.72598933893415918</v>
      </c>
      <c r="P91" s="16"/>
      <c r="R91" s="31"/>
      <c r="U91" s="31"/>
      <c r="Y91" s="5">
        <f t="shared" si="28"/>
        <v>2.2199999999999998</v>
      </c>
      <c r="Z91" s="5"/>
      <c r="AB91" s="1">
        <f>SUM(B91:I91)</f>
        <v>8.51</v>
      </c>
      <c r="AC91" s="5"/>
    </row>
    <row r="92" spans="1:29" x14ac:dyDescent="0.2">
      <c r="A92" s="1">
        <v>2015</v>
      </c>
      <c r="B92" s="1">
        <v>1.21</v>
      </c>
      <c r="C92" s="5">
        <v>0.81</v>
      </c>
      <c r="D92" s="5">
        <v>0.53</v>
      </c>
      <c r="E92" s="5">
        <v>0.8</v>
      </c>
      <c r="F92" s="5">
        <v>2.56</v>
      </c>
      <c r="G92" s="5">
        <v>0.69</v>
      </c>
      <c r="H92" s="5">
        <v>3.96</v>
      </c>
      <c r="I92" s="5">
        <v>0.97</v>
      </c>
      <c r="J92" s="5">
        <v>1.1299999999999999</v>
      </c>
      <c r="K92" s="1">
        <v>3.09</v>
      </c>
      <c r="L92" s="1">
        <v>0.79</v>
      </c>
      <c r="M92" s="1">
        <v>0.75</v>
      </c>
      <c r="N92" s="9">
        <f t="shared" si="27"/>
        <v>17.29</v>
      </c>
      <c r="O92" s="32">
        <f>N92/SUM(B106:M106)</f>
        <v>1.3456474647503665</v>
      </c>
      <c r="P92" s="16"/>
      <c r="R92" s="31"/>
      <c r="U92" s="31"/>
      <c r="Y92" s="5">
        <f t="shared" si="28"/>
        <v>6.6</v>
      </c>
      <c r="Z92" s="5"/>
      <c r="AB92" s="1">
        <f>SUM(B92:I92)</f>
        <v>11.53</v>
      </c>
      <c r="AC92" s="5"/>
    </row>
    <row r="93" spans="1:29" x14ac:dyDescent="0.2">
      <c r="A93" s="1">
        <v>2016</v>
      </c>
      <c r="B93" s="1">
        <v>0.44</v>
      </c>
      <c r="C93" s="5">
        <v>0.61</v>
      </c>
      <c r="D93" s="5">
        <v>0.02</v>
      </c>
      <c r="E93" s="5">
        <v>1.39</v>
      </c>
      <c r="F93" s="5">
        <v>0.56999999999999995</v>
      </c>
      <c r="G93" s="1">
        <v>0.27</v>
      </c>
      <c r="H93" s="1">
        <v>0.49</v>
      </c>
      <c r="I93" s="1">
        <v>4.2</v>
      </c>
      <c r="J93" s="1">
        <v>0.44</v>
      </c>
      <c r="K93" s="1">
        <v>0.21</v>
      </c>
      <c r="L93" s="1">
        <v>1.73</v>
      </c>
      <c r="M93" s="1">
        <v>0.85</v>
      </c>
      <c r="N93" s="9">
        <f t="shared" si="27"/>
        <v>11.22</v>
      </c>
      <c r="O93" s="32">
        <f>N93/SUM(B107:M107)</f>
        <v>0.90818948944695166</v>
      </c>
      <c r="P93" s="16"/>
      <c r="R93" s="31"/>
      <c r="U93" s="31"/>
      <c r="Y93" s="5">
        <f t="shared" si="28"/>
        <v>3.3</v>
      </c>
      <c r="Z93" s="5"/>
      <c r="AC93" s="5"/>
    </row>
    <row r="94" spans="1:29" x14ac:dyDescent="0.2">
      <c r="A94" s="1">
        <v>2017</v>
      </c>
      <c r="B94" s="1">
        <v>2.0299999999999998</v>
      </c>
      <c r="C94" s="5">
        <v>0.34</v>
      </c>
      <c r="D94" s="1">
        <v>0.53</v>
      </c>
      <c r="E94" s="5">
        <v>1.25</v>
      </c>
      <c r="F94" s="5">
        <v>0.9</v>
      </c>
      <c r="G94" s="1">
        <v>0.79</v>
      </c>
      <c r="H94" s="1">
        <v>1</v>
      </c>
      <c r="I94" s="1">
        <v>0.93</v>
      </c>
      <c r="J94" s="1">
        <v>3.48</v>
      </c>
      <c r="K94" s="1">
        <v>1.05</v>
      </c>
      <c r="L94" s="1">
        <v>0.08</v>
      </c>
      <c r="M94" s="1">
        <v>0</v>
      </c>
      <c r="N94" s="9">
        <f t="shared" si="27"/>
        <v>12.38</v>
      </c>
      <c r="O94" s="32">
        <f>N94/SUM(B107:M107)</f>
        <v>1.0020843029726614</v>
      </c>
      <c r="P94" s="16"/>
      <c r="R94" s="31"/>
      <c r="U94" s="31"/>
      <c r="Y94" s="5">
        <f t="shared" si="28"/>
        <v>5.84</v>
      </c>
      <c r="Z94" s="5"/>
      <c r="AC94" s="5"/>
    </row>
    <row r="95" spans="1:29" x14ac:dyDescent="0.2">
      <c r="A95" s="1">
        <v>2018</v>
      </c>
      <c r="B95" s="1">
        <v>0.01</v>
      </c>
      <c r="C95" s="1">
        <v>0.39</v>
      </c>
      <c r="D95" s="1">
        <v>0.64</v>
      </c>
      <c r="E95" s="5">
        <v>0.01</v>
      </c>
      <c r="F95" s="5">
        <v>0.3</v>
      </c>
      <c r="G95" s="1">
        <v>0.45</v>
      </c>
      <c r="H95" s="1">
        <v>2.2799999999999998</v>
      </c>
      <c r="I95" s="1">
        <v>1.57</v>
      </c>
      <c r="J95" s="1">
        <v>0.67</v>
      </c>
      <c r="K95" s="1">
        <v>2.9</v>
      </c>
      <c r="L95" s="1">
        <v>0.43</v>
      </c>
      <c r="M95" s="1">
        <v>1.85</v>
      </c>
      <c r="N95" s="9">
        <f t="shared" si="27"/>
        <v>11.5</v>
      </c>
      <c r="O95" s="32">
        <f>N95/SUM(B107:M107)</f>
        <v>0.93085375478074361</v>
      </c>
      <c r="P95" s="16"/>
      <c r="R95" s="31"/>
      <c r="U95" s="31"/>
      <c r="Y95" s="5">
        <f t="shared" si="28"/>
        <v>1.8</v>
      </c>
      <c r="Z95" s="5"/>
      <c r="AC95" s="5"/>
    </row>
    <row r="96" spans="1:29" x14ac:dyDescent="0.2">
      <c r="A96" s="1">
        <v>2019</v>
      </c>
      <c r="B96" s="1">
        <v>1.07</v>
      </c>
      <c r="C96" s="1">
        <v>0.94</v>
      </c>
      <c r="D96" s="1">
        <v>1.8</v>
      </c>
      <c r="E96" s="1">
        <v>1.08</v>
      </c>
      <c r="F96" s="1">
        <v>0.95</v>
      </c>
      <c r="G96" s="1">
        <v>0.13</v>
      </c>
      <c r="H96" s="1">
        <v>1.86</v>
      </c>
      <c r="I96" s="1">
        <v>1.3</v>
      </c>
      <c r="J96" s="1">
        <v>0.36</v>
      </c>
      <c r="K96" s="1">
        <v>1.23</v>
      </c>
      <c r="L96" s="1">
        <v>1.88</v>
      </c>
      <c r="M96" s="1">
        <v>0.4</v>
      </c>
      <c r="N96" s="9">
        <f t="shared" ref="N96:N107" si="29">SUM(B96:M96)</f>
        <v>13.000000000000002</v>
      </c>
      <c r="O96" s="32"/>
      <c r="P96" s="16"/>
      <c r="R96" s="31"/>
      <c r="U96" s="31"/>
      <c r="Y96" s="5">
        <f t="shared" si="28"/>
        <v>5.97</v>
      </c>
      <c r="Z96" s="5"/>
      <c r="AC96" s="5"/>
    </row>
    <row r="97" spans="1:29" x14ac:dyDescent="0.2">
      <c r="A97" s="1">
        <v>2020</v>
      </c>
      <c r="B97" s="1">
        <v>1.06</v>
      </c>
      <c r="C97" s="1">
        <v>0.81</v>
      </c>
      <c r="D97" s="1">
        <v>1.2</v>
      </c>
      <c r="E97" s="1">
        <v>0.44</v>
      </c>
      <c r="F97" s="1">
        <v>0.21</v>
      </c>
      <c r="G97" s="1">
        <v>0.25</v>
      </c>
      <c r="H97" s="1">
        <v>1.1200000000000001</v>
      </c>
      <c r="I97" s="1">
        <v>0.32</v>
      </c>
      <c r="J97" s="1">
        <v>0.63</v>
      </c>
      <c r="K97" s="1">
        <v>0.69</v>
      </c>
      <c r="L97" s="1">
        <v>0.64</v>
      </c>
      <c r="M97" s="1">
        <v>0.23</v>
      </c>
      <c r="N97" s="9">
        <f t="shared" si="29"/>
        <v>7.6000000000000005</v>
      </c>
      <c r="O97" s="32"/>
      <c r="P97" s="16"/>
      <c r="R97" s="31"/>
      <c r="U97" s="31"/>
      <c r="Y97" s="5">
        <f t="shared" si="28"/>
        <v>3.97</v>
      </c>
      <c r="Z97" s="5"/>
      <c r="AC97" s="5"/>
    </row>
    <row r="98" spans="1:29" x14ac:dyDescent="0.2">
      <c r="A98" s="1">
        <v>2021</v>
      </c>
      <c r="B98" s="1">
        <v>0.47</v>
      </c>
      <c r="C98" s="1">
        <v>0.75</v>
      </c>
      <c r="D98" s="1">
        <v>0.42</v>
      </c>
      <c r="E98" s="1">
        <v>0.03</v>
      </c>
      <c r="F98" s="1">
        <v>2.0099999999999998</v>
      </c>
      <c r="G98" s="1">
        <v>1.68</v>
      </c>
      <c r="H98" s="1">
        <v>0.45</v>
      </c>
      <c r="I98" s="1">
        <v>2.4700000000000002</v>
      </c>
      <c r="J98" s="1">
        <v>1.34</v>
      </c>
      <c r="K98" s="1">
        <v>0.05</v>
      </c>
      <c r="L98" s="1">
        <v>0.03</v>
      </c>
      <c r="M98" s="1">
        <v>1.1499999999999999</v>
      </c>
      <c r="N98" s="9">
        <f t="shared" si="29"/>
        <v>10.85</v>
      </c>
      <c r="O98" s="32"/>
      <c r="P98" s="16"/>
      <c r="R98" s="31"/>
      <c r="U98" s="31"/>
      <c r="Y98" s="5">
        <f t="shared" si="28"/>
        <v>5.3599999999999994</v>
      </c>
      <c r="Z98" s="5"/>
      <c r="AC98" s="5"/>
    </row>
    <row r="99" spans="1:29" x14ac:dyDescent="0.2">
      <c r="A99" s="1">
        <v>2022</v>
      </c>
      <c r="B99" s="1">
        <v>0.5</v>
      </c>
      <c r="C99" s="1">
        <v>1.08</v>
      </c>
      <c r="D99" s="1">
        <v>0.97</v>
      </c>
      <c r="E99" s="1">
        <v>0.04</v>
      </c>
      <c r="F99" s="1">
        <v>0.05</v>
      </c>
      <c r="G99" s="1">
        <v>3.84</v>
      </c>
      <c r="H99" s="1">
        <v>3.3</v>
      </c>
      <c r="I99" s="1">
        <v>1</v>
      </c>
      <c r="J99" s="1">
        <v>0.53</v>
      </c>
      <c r="K99" s="1">
        <v>1.61</v>
      </c>
      <c r="L99" s="1">
        <v>0.09</v>
      </c>
      <c r="M99" s="1">
        <v>0.87</v>
      </c>
      <c r="N99" s="9">
        <f t="shared" si="29"/>
        <v>13.879999999999997</v>
      </c>
      <c r="O99" s="32"/>
      <c r="P99" s="16"/>
      <c r="R99" s="31"/>
      <c r="U99" s="31"/>
      <c r="Y99" s="5"/>
      <c r="Z99" s="5"/>
      <c r="AC99" s="5"/>
    </row>
    <row r="100" spans="1:29" x14ac:dyDescent="0.2">
      <c r="A100" s="1">
        <v>2023</v>
      </c>
      <c r="B100" s="1">
        <v>0.9</v>
      </c>
      <c r="C100" s="1">
        <v>0.56000000000000005</v>
      </c>
      <c r="D100" s="1">
        <v>0.84</v>
      </c>
      <c r="E100" s="1">
        <v>0.11</v>
      </c>
      <c r="F100" s="1">
        <v>2.09</v>
      </c>
      <c r="G100" s="1">
        <v>0.44</v>
      </c>
      <c r="H100" s="1">
        <v>0.02</v>
      </c>
      <c r="I100" s="1">
        <v>1.37</v>
      </c>
      <c r="J100" s="1">
        <v>1.3</v>
      </c>
      <c r="K100" s="1">
        <v>0.06</v>
      </c>
      <c r="L100" s="5">
        <v>1</v>
      </c>
      <c r="M100" s="1">
        <v>1.17</v>
      </c>
      <c r="N100" s="9">
        <f t="shared" si="29"/>
        <v>9.86</v>
      </c>
      <c r="O100" s="32"/>
      <c r="P100" s="16"/>
      <c r="R100" s="31"/>
      <c r="U100" s="31"/>
      <c r="Y100" s="5"/>
      <c r="Z100" s="5"/>
      <c r="AC100" s="5"/>
    </row>
    <row r="101" spans="1:29" x14ac:dyDescent="0.2">
      <c r="A101" s="1">
        <v>2024</v>
      </c>
      <c r="B101" s="1">
        <v>0.52</v>
      </c>
      <c r="C101" s="1">
        <v>0.61</v>
      </c>
      <c r="D101" s="1">
        <v>1.23</v>
      </c>
      <c r="E101" s="1">
        <v>0.23</v>
      </c>
      <c r="F101" s="1">
        <v>0.09</v>
      </c>
      <c r="G101" s="1">
        <v>1.93</v>
      </c>
      <c r="H101" s="1">
        <v>1.49</v>
      </c>
      <c r="I101" s="1">
        <v>1.26</v>
      </c>
      <c r="J101" s="1">
        <v>1.83</v>
      </c>
      <c r="K101" s="1">
        <v>1.46</v>
      </c>
      <c r="L101" s="5">
        <v>1.94</v>
      </c>
      <c r="M101" s="1">
        <v>0</v>
      </c>
      <c r="N101" s="9">
        <f t="shared" si="29"/>
        <v>12.589999999999998</v>
      </c>
      <c r="O101" s="32"/>
      <c r="P101" s="16"/>
      <c r="R101" s="31"/>
      <c r="U101" s="31"/>
      <c r="Y101" s="5"/>
      <c r="Z101" s="5"/>
      <c r="AC101" s="5"/>
    </row>
    <row r="102" spans="1:29" x14ac:dyDescent="0.2">
      <c r="A102" s="1">
        <v>2025</v>
      </c>
      <c r="B102" s="1">
        <v>0.14000000000000001</v>
      </c>
      <c r="C102" s="1">
        <v>0.08</v>
      </c>
      <c r="D102" s="1">
        <v>0.28000000000000003</v>
      </c>
      <c r="E102" s="1">
        <v>0.4</v>
      </c>
      <c r="F102" s="1">
        <v>2.42</v>
      </c>
      <c r="G102" s="1">
        <v>1.32</v>
      </c>
      <c r="H102" s="1">
        <v>1.38</v>
      </c>
      <c r="I102" s="1">
        <v>2.2000000000000002</v>
      </c>
      <c r="J102" s="1">
        <v>2.11</v>
      </c>
      <c r="K102" s="1">
        <v>1</v>
      </c>
      <c r="L102" s="5">
        <v>1</v>
      </c>
      <c r="M102" s="1">
        <v>0.33</v>
      </c>
      <c r="N102" s="9">
        <f t="shared" si="29"/>
        <v>12.659999999999998</v>
      </c>
      <c r="O102" s="32"/>
      <c r="P102" s="16"/>
      <c r="R102" s="31"/>
      <c r="U102" s="31"/>
      <c r="Y102" s="5"/>
      <c r="Z102" s="5"/>
      <c r="AC102" s="5"/>
    </row>
    <row r="103" spans="1:29" x14ac:dyDescent="0.2">
      <c r="A103" s="1">
        <v>2026</v>
      </c>
      <c r="B103" s="1">
        <v>0.33</v>
      </c>
      <c r="C103" s="1">
        <v>0.49</v>
      </c>
      <c r="D103" s="1">
        <v>0.25</v>
      </c>
      <c r="E103" s="1">
        <v>0</v>
      </c>
      <c r="L103" s="5"/>
      <c r="N103" s="9">
        <f t="shared" si="29"/>
        <v>1.07</v>
      </c>
      <c r="O103" s="32"/>
      <c r="P103" s="16"/>
      <c r="R103" s="31"/>
      <c r="U103" s="31"/>
      <c r="Y103" s="5"/>
      <c r="Z103" s="5"/>
      <c r="AC103" s="5"/>
    </row>
    <row r="104" spans="1:29" x14ac:dyDescent="0.2">
      <c r="A104" s="3" t="s">
        <v>62</v>
      </c>
      <c r="B104" s="3">
        <f t="shared" ref="B104:E104" si="30">MEDIAN(B3:B102)</f>
        <v>0.62</v>
      </c>
      <c r="C104" s="3">
        <f t="shared" si="30"/>
        <v>0.6</v>
      </c>
      <c r="D104" s="3">
        <f t="shared" si="30"/>
        <v>0.8</v>
      </c>
      <c r="E104" s="3">
        <f t="shared" si="30"/>
        <v>0.59499999999999997</v>
      </c>
      <c r="F104" s="3">
        <f>MEDIAN(F3:F102)</f>
        <v>1.04</v>
      </c>
      <c r="G104" s="3">
        <f t="shared" ref="G104:M104" si="31">MEDIAN(G3:G102)</f>
        <v>0.61499999999999999</v>
      </c>
      <c r="H104" s="3">
        <f t="shared" si="31"/>
        <v>2.2649999999999997</v>
      </c>
      <c r="I104" s="3">
        <f t="shared" si="31"/>
        <v>2.4450000000000003</v>
      </c>
      <c r="J104" s="3">
        <f t="shared" si="31"/>
        <v>1.43</v>
      </c>
      <c r="K104" s="3">
        <f t="shared" si="31"/>
        <v>1.19</v>
      </c>
      <c r="L104" s="3">
        <f t="shared" si="31"/>
        <v>0.66</v>
      </c>
      <c r="M104" s="3">
        <f t="shared" si="31"/>
        <v>0.755</v>
      </c>
      <c r="N104" s="9">
        <f t="shared" si="29"/>
        <v>13.015000000000001</v>
      </c>
      <c r="O104" s="27"/>
      <c r="P104" s="16"/>
      <c r="R104" s="31"/>
      <c r="U104" s="31"/>
      <c r="Y104" s="5"/>
      <c r="Z104" s="5"/>
      <c r="AC104" s="5"/>
    </row>
    <row r="105" spans="1:29" x14ac:dyDescent="0.2">
      <c r="A105" s="29" t="s">
        <v>97</v>
      </c>
      <c r="B105" s="4">
        <f>(SUM(B3:B102)/94)</f>
        <v>0.81085106382978722</v>
      </c>
      <c r="C105" s="4">
        <f t="shared" ref="B105:E105" si="32">(SUM(C3:C102)/94)</f>
        <v>0.78521276595744671</v>
      </c>
      <c r="D105" s="4">
        <f t="shared" si="32"/>
        <v>0.96132978723404205</v>
      </c>
      <c r="E105" s="4">
        <f t="shared" si="32"/>
        <v>0.81781914893617025</v>
      </c>
      <c r="F105" s="4">
        <f>(SUM(F3:F102)/94)</f>
        <v>1.2654255319148937</v>
      </c>
      <c r="G105" s="4">
        <f t="shared" ref="G105:M105" si="33">(SUM(G3:G102)/94)</f>
        <v>1.0885638297872338</v>
      </c>
      <c r="H105" s="4">
        <f t="shared" si="33"/>
        <v>2.4322340425531919</v>
      </c>
      <c r="I105" s="4">
        <f t="shared" si="33"/>
        <v>2.7317021276595743</v>
      </c>
      <c r="J105" s="4">
        <f t="shared" si="33"/>
        <v>1.8593085106382989</v>
      </c>
      <c r="K105" s="4">
        <f t="shared" si="33"/>
        <v>1.4335638297872344</v>
      </c>
      <c r="L105" s="4">
        <f t="shared" si="33"/>
        <v>0.90765957446808554</v>
      </c>
      <c r="M105" s="4">
        <f t="shared" si="33"/>
        <v>0.9120744680851065</v>
      </c>
      <c r="N105" s="9">
        <f t="shared" si="29"/>
        <v>16.005744680851066</v>
      </c>
      <c r="O105" s="15"/>
      <c r="P105" s="14">
        <f>SUM(H105:J105)</f>
        <v>7.0232446808510653</v>
      </c>
      <c r="Q105" s="3" t="s">
        <v>14</v>
      </c>
      <c r="R105" s="30" t="s">
        <v>19</v>
      </c>
      <c r="U105" s="11" t="s">
        <v>19</v>
      </c>
    </row>
    <row r="106" spans="1:29" x14ac:dyDescent="0.2">
      <c r="A106" s="3" t="s">
        <v>84</v>
      </c>
      <c r="B106" s="4">
        <f t="shared" ref="B106:E106" si="34">(SUM(B73:B102)/30)</f>
        <v>0.68566666666666642</v>
      </c>
      <c r="C106" s="4">
        <f t="shared" si="34"/>
        <v>0.56966666666666654</v>
      </c>
      <c r="D106" s="4">
        <f t="shared" si="34"/>
        <v>0.752</v>
      </c>
      <c r="E106" s="4">
        <f t="shared" si="34"/>
        <v>0.69099999999999995</v>
      </c>
      <c r="F106" s="4">
        <f>(SUM(F73:F102)/30)</f>
        <v>0.77</v>
      </c>
      <c r="G106" s="4">
        <f t="shared" ref="G106:M106" si="35">(SUM(G73:G102)/30)</f>
        <v>0.92566666666666653</v>
      </c>
      <c r="H106" s="4">
        <f t="shared" si="35"/>
        <v>1.9763333333333335</v>
      </c>
      <c r="I106" s="4">
        <f t="shared" si="35"/>
        <v>2.0126666666666666</v>
      </c>
      <c r="J106" s="4">
        <f t="shared" si="35"/>
        <v>1.5494999999999999</v>
      </c>
      <c r="K106" s="4">
        <f t="shared" si="35"/>
        <v>1.4089999999999998</v>
      </c>
      <c r="L106" s="4">
        <f t="shared" si="35"/>
        <v>0.76</v>
      </c>
      <c r="M106" s="4">
        <f t="shared" si="35"/>
        <v>0.7473333333333334</v>
      </c>
      <c r="N106" s="9">
        <f t="shared" si="29"/>
        <v>12.848833333333333</v>
      </c>
      <c r="P106" s="14">
        <f>SUM(H106:J106)</f>
        <v>5.5385</v>
      </c>
      <c r="Q106" s="1" t="s">
        <v>14</v>
      </c>
      <c r="R106" s="12">
        <f>(SUM(R3:R89)/79)</f>
        <v>8.5170886075949319</v>
      </c>
      <c r="U106" s="12">
        <f>(SUM(U3:U89)/79)</f>
        <v>15.092468354430371</v>
      </c>
    </row>
    <row r="107" spans="1:29" x14ac:dyDescent="0.2">
      <c r="A107" s="3" t="s">
        <v>85</v>
      </c>
      <c r="B107" s="4">
        <f>(SUM(B83:B102)/20)</f>
        <v>0.62050000000000005</v>
      </c>
      <c r="C107" s="4">
        <f t="shared" ref="C107:M107" si="36">(SUM(C83:C102)/20)</f>
        <v>0.49750000000000005</v>
      </c>
      <c r="D107" s="4">
        <f t="shared" si="36"/>
        <v>0.69750000000000001</v>
      </c>
      <c r="E107" s="4">
        <f t="shared" si="36"/>
        <v>0.50399999999999978</v>
      </c>
      <c r="F107" s="4">
        <f t="shared" si="36"/>
        <v>0.88300000000000023</v>
      </c>
      <c r="G107" s="4">
        <f t="shared" si="36"/>
        <v>0.82950000000000002</v>
      </c>
      <c r="H107" s="4">
        <f t="shared" si="36"/>
        <v>2.1085000000000003</v>
      </c>
      <c r="I107" s="4">
        <f t="shared" si="36"/>
        <v>1.746</v>
      </c>
      <c r="J107" s="4">
        <f t="shared" si="36"/>
        <v>1.60975</v>
      </c>
      <c r="K107" s="4">
        <f t="shared" si="36"/>
        <v>1.1405000000000001</v>
      </c>
      <c r="L107" s="4">
        <f t="shared" si="36"/>
        <v>0.80349999999999999</v>
      </c>
      <c r="M107" s="4">
        <f t="shared" si="36"/>
        <v>0.91400000000000003</v>
      </c>
      <c r="N107" s="9">
        <f t="shared" si="29"/>
        <v>12.354249999999999</v>
      </c>
      <c r="P107" s="14">
        <f>SUM(H107:J107)</f>
        <v>5.4642499999999998</v>
      </c>
    </row>
    <row r="108" spans="1:29" x14ac:dyDescent="0.2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9"/>
    </row>
    <row r="109" spans="1:29" x14ac:dyDescent="0.2">
      <c r="H109" s="20" t="s">
        <v>69</v>
      </c>
      <c r="I109" s="21" t="s">
        <v>68</v>
      </c>
      <c r="J109" s="21" t="s">
        <v>67</v>
      </c>
      <c r="K109" s="20" t="s">
        <v>66</v>
      </c>
      <c r="L109" s="20" t="s">
        <v>75</v>
      </c>
      <c r="N109" s="3" t="s">
        <v>76</v>
      </c>
      <c r="R109" s="3" t="s">
        <v>56</v>
      </c>
      <c r="S109" s="5">
        <f>(SUM(N78:N80))/3</f>
        <v>8.9183333333333348</v>
      </c>
      <c r="U109" s="1" t="s">
        <v>73</v>
      </c>
      <c r="V109" s="1">
        <f>(SUM(N48:N77))/30</f>
        <v>16.997333333333334</v>
      </c>
    </row>
    <row r="110" spans="1:29" x14ac:dyDescent="0.2">
      <c r="I110" s="5">
        <f>SUM(N3:N9)</f>
        <v>114.60000000000001</v>
      </c>
      <c r="J110" s="14">
        <f>SUM(N12:N46)</f>
        <v>539.92500000000007</v>
      </c>
      <c r="K110" s="14">
        <f>SUM(N48:N52)</f>
        <v>82.704999999999998</v>
      </c>
      <c r="L110" s="14">
        <f>SUM(N56:N85)</f>
        <v>486.65999999999997</v>
      </c>
      <c r="N110" s="4">
        <f>(SUM(I110:L110))/75</f>
        <v>16.318533333333335</v>
      </c>
      <c r="R110" s="3" t="s">
        <v>57</v>
      </c>
      <c r="S110" s="5">
        <f>(SUM(N75:N77))/3</f>
        <v>13.955</v>
      </c>
      <c r="U110" s="1" t="s">
        <v>74</v>
      </c>
      <c r="V110" s="1">
        <f>(SUM(N38:N67))/30</f>
        <v>16.874500000000001</v>
      </c>
    </row>
    <row r="111" spans="1:29" x14ac:dyDescent="0.2">
      <c r="A111" s="3" t="s">
        <v>58</v>
      </c>
      <c r="B111" s="5">
        <f>MAX(B3:B96)</f>
        <v>3.73</v>
      </c>
      <c r="C111" s="5">
        <f t="shared" ref="C111:M111" si="37">MAX(C3:C96)</f>
        <v>3.03</v>
      </c>
      <c r="D111" s="5">
        <f t="shared" si="37"/>
        <v>4.3899999999999997</v>
      </c>
      <c r="E111" s="5">
        <f t="shared" si="37"/>
        <v>3.4</v>
      </c>
      <c r="F111" s="5">
        <f t="shared" si="37"/>
        <v>4.1500000000000004</v>
      </c>
      <c r="G111" s="5">
        <f t="shared" si="37"/>
        <v>5.75</v>
      </c>
      <c r="H111" s="5">
        <f t="shared" si="37"/>
        <v>5.48</v>
      </c>
      <c r="I111" s="5">
        <f t="shared" si="37"/>
        <v>6.48</v>
      </c>
      <c r="J111" s="5">
        <f t="shared" si="37"/>
        <v>7.88</v>
      </c>
      <c r="K111" s="5">
        <f t="shared" si="37"/>
        <v>4.96</v>
      </c>
      <c r="L111" s="5">
        <f t="shared" si="37"/>
        <v>6.43</v>
      </c>
      <c r="M111" s="5">
        <f t="shared" si="37"/>
        <v>3.32</v>
      </c>
      <c r="N111" s="1"/>
      <c r="R111" s="3" t="s">
        <v>77</v>
      </c>
      <c r="S111" s="5">
        <f>(SUM(N75:N84)/10)</f>
        <v>13.132000000000001</v>
      </c>
    </row>
    <row r="112" spans="1:29" x14ac:dyDescent="0.2">
      <c r="A112" s="3" t="s">
        <v>59</v>
      </c>
      <c r="B112" s="5">
        <f>MIN(B3:B96)</f>
        <v>0</v>
      </c>
      <c r="C112" s="5">
        <f t="shared" ref="C112:M112" si="38">MIN(C3:C96)</f>
        <v>0</v>
      </c>
      <c r="D112" s="5">
        <f t="shared" si="38"/>
        <v>0</v>
      </c>
      <c r="E112" s="5">
        <f t="shared" si="38"/>
        <v>0</v>
      </c>
      <c r="F112" s="5">
        <f t="shared" si="38"/>
        <v>0</v>
      </c>
      <c r="G112" s="5">
        <f t="shared" si="38"/>
        <v>5.0000000000000001E-3</v>
      </c>
      <c r="H112" s="5">
        <f t="shared" si="38"/>
        <v>0.26</v>
      </c>
      <c r="I112" s="5">
        <f t="shared" si="38"/>
        <v>0.35</v>
      </c>
      <c r="J112" s="5">
        <f t="shared" si="38"/>
        <v>0</v>
      </c>
      <c r="K112" s="5">
        <f t="shared" si="38"/>
        <v>0</v>
      </c>
      <c r="L112" s="5">
        <f t="shared" si="38"/>
        <v>0</v>
      </c>
      <c r="M112" s="5">
        <f t="shared" si="38"/>
        <v>0</v>
      </c>
      <c r="N112" s="1"/>
      <c r="R112" s="3"/>
      <c r="S112" s="5"/>
    </row>
    <row r="113" spans="1:30" ht="22.5" x14ac:dyDescent="0.2">
      <c r="A113" s="34" t="s">
        <v>25</v>
      </c>
      <c r="B113" s="2" t="s">
        <v>10</v>
      </c>
      <c r="C113" s="2" t="s">
        <v>11</v>
      </c>
      <c r="D113" s="2" t="s">
        <v>12</v>
      </c>
      <c r="E113" s="2" t="s">
        <v>1</v>
      </c>
      <c r="F113" s="2" t="s">
        <v>2</v>
      </c>
      <c r="G113" s="2" t="s">
        <v>3</v>
      </c>
      <c r="H113" s="2" t="s">
        <v>4</v>
      </c>
      <c r="I113" s="2" t="s">
        <v>5</v>
      </c>
      <c r="J113" s="2" t="s">
        <v>6</v>
      </c>
      <c r="K113" s="2" t="s">
        <v>7</v>
      </c>
      <c r="L113" s="2" t="s">
        <v>8</v>
      </c>
      <c r="M113" s="2" t="s">
        <v>9</v>
      </c>
      <c r="N113" s="1" t="s">
        <v>26</v>
      </c>
      <c r="O113" s="17" t="s">
        <v>17</v>
      </c>
      <c r="P113" s="13" t="s">
        <v>89</v>
      </c>
      <c r="Q113" s="1" t="s">
        <v>88</v>
      </c>
      <c r="R113" s="13" t="s">
        <v>90</v>
      </c>
      <c r="U113" s="1" t="s">
        <v>91</v>
      </c>
      <c r="V113" s="1" t="s">
        <v>83</v>
      </c>
    </row>
    <row r="114" spans="1:30" x14ac:dyDescent="0.2">
      <c r="A114" s="1">
        <v>1928</v>
      </c>
      <c r="B114" s="1">
        <v>0.45</v>
      </c>
      <c r="C114" s="1">
        <v>0.1</v>
      </c>
      <c r="D114" s="1">
        <v>0.65</v>
      </c>
      <c r="E114" s="1">
        <v>0</v>
      </c>
      <c r="F114" s="1">
        <v>0.75</v>
      </c>
      <c r="G114" s="1">
        <v>0.42</v>
      </c>
      <c r="H114" s="1">
        <v>1.26</v>
      </c>
      <c r="I114" s="1">
        <v>2.04</v>
      </c>
      <c r="J114" s="1">
        <v>0.12</v>
      </c>
      <c r="K114" s="1">
        <v>1.17</v>
      </c>
      <c r="L114" s="1">
        <v>4.82</v>
      </c>
      <c r="M114" s="1">
        <v>0</v>
      </c>
      <c r="N114" s="5">
        <f>SUM(B114:M114)</f>
        <v>11.780000000000001</v>
      </c>
      <c r="O114" s="17"/>
      <c r="R114" s="13"/>
    </row>
    <row r="115" spans="1:30" x14ac:dyDescent="0.2">
      <c r="A115" s="1">
        <v>1929</v>
      </c>
      <c r="B115" s="1">
        <v>1.3</v>
      </c>
      <c r="C115" s="1">
        <v>0.51</v>
      </c>
      <c r="D115" s="1">
        <v>0.28999999999999998</v>
      </c>
      <c r="E115" s="1">
        <v>0.11</v>
      </c>
      <c r="F115" s="1">
        <v>1.78</v>
      </c>
      <c r="G115" s="1">
        <v>0.37</v>
      </c>
      <c r="H115" s="1">
        <v>0.27</v>
      </c>
      <c r="I115" s="1">
        <v>3.93</v>
      </c>
      <c r="J115" s="1">
        <v>0.59</v>
      </c>
      <c r="K115" s="1">
        <v>2.46</v>
      </c>
      <c r="L115" s="1">
        <v>3.16</v>
      </c>
      <c r="M115" s="1">
        <v>3.74</v>
      </c>
      <c r="N115" s="5">
        <f>SUM(B115:M115)</f>
        <v>18.509999999999998</v>
      </c>
      <c r="P115" s="14"/>
      <c r="R115" s="14"/>
      <c r="U115" s="1">
        <f t="shared" ref="U115:U146" si="39">SUM(K115:M115)</f>
        <v>9.36</v>
      </c>
      <c r="V115" s="5">
        <f t="shared" ref="V115:V146" si="40">SUM(C115:G115)</f>
        <v>3.06</v>
      </c>
    </row>
    <row r="116" spans="1:30" x14ac:dyDescent="0.2">
      <c r="A116" s="1">
        <v>1931</v>
      </c>
      <c r="B116" s="1">
        <v>1.71</v>
      </c>
      <c r="C116" s="1">
        <v>1.04</v>
      </c>
      <c r="D116" s="1">
        <v>0.03</v>
      </c>
      <c r="E116" s="1">
        <v>0.13</v>
      </c>
      <c r="F116" s="1">
        <v>2.17</v>
      </c>
      <c r="G116" s="1">
        <v>3</v>
      </c>
      <c r="H116" s="1">
        <v>2.72</v>
      </c>
      <c r="I116" s="1">
        <v>0.52</v>
      </c>
      <c r="J116" s="1">
        <v>0.41</v>
      </c>
      <c r="K116" s="1">
        <v>2.74</v>
      </c>
      <c r="L116" s="1">
        <v>2.2599999999999998</v>
      </c>
      <c r="M116" s="1">
        <v>5.25</v>
      </c>
      <c r="N116" s="5">
        <f t="shared" ref="N116:N176" si="41">SUM(B116:M116)</f>
        <v>21.98</v>
      </c>
      <c r="P116" s="14"/>
      <c r="R116" s="14"/>
      <c r="U116" s="1">
        <f t="shared" si="39"/>
        <v>10.25</v>
      </c>
      <c r="V116" s="5">
        <f t="shared" si="40"/>
        <v>6.37</v>
      </c>
    </row>
    <row r="117" spans="1:30" x14ac:dyDescent="0.2">
      <c r="A117" s="1">
        <v>1932</v>
      </c>
      <c r="B117" s="1">
        <v>1.44</v>
      </c>
      <c r="C117" s="1">
        <v>2.16</v>
      </c>
      <c r="D117" s="1">
        <v>0.88</v>
      </c>
      <c r="E117" s="1">
        <v>0.84</v>
      </c>
      <c r="F117" s="1">
        <v>1.1000000000000001</v>
      </c>
      <c r="G117" s="1">
        <v>0.64</v>
      </c>
      <c r="H117" s="1">
        <v>0.39</v>
      </c>
      <c r="I117" s="1">
        <v>1.62</v>
      </c>
      <c r="J117" s="1">
        <v>0.85</v>
      </c>
      <c r="K117" s="1">
        <v>2.5299999999999998</v>
      </c>
      <c r="L117" s="1">
        <v>2.2400000000000002</v>
      </c>
      <c r="M117" s="1">
        <v>1.07</v>
      </c>
      <c r="N117" s="5">
        <f t="shared" si="41"/>
        <v>15.76</v>
      </c>
      <c r="P117" s="14"/>
      <c r="R117" s="14"/>
      <c r="U117" s="1">
        <f t="shared" si="39"/>
        <v>5.84</v>
      </c>
      <c r="V117" s="5">
        <f t="shared" si="40"/>
        <v>5.62</v>
      </c>
      <c r="AB117" s="3" t="s">
        <v>60</v>
      </c>
    </row>
    <row r="118" spans="1:30" x14ac:dyDescent="0.2">
      <c r="A118" s="1">
        <v>1933</v>
      </c>
      <c r="B118" s="1">
        <v>1.72</v>
      </c>
      <c r="C118" s="1">
        <v>0</v>
      </c>
      <c r="D118" s="1">
        <v>1.26</v>
      </c>
      <c r="E118" s="1">
        <v>0.57999999999999996</v>
      </c>
      <c r="F118" s="22" t="s">
        <v>13</v>
      </c>
      <c r="G118" s="1">
        <v>0.39</v>
      </c>
      <c r="H118" s="1">
        <v>0.53</v>
      </c>
      <c r="I118" s="1">
        <v>0.31</v>
      </c>
      <c r="J118" s="1">
        <v>2.65</v>
      </c>
      <c r="K118" s="1">
        <v>2.4300000000000002</v>
      </c>
      <c r="L118" s="1">
        <v>2.88</v>
      </c>
      <c r="M118" s="1">
        <v>1.1299999999999999</v>
      </c>
      <c r="N118" s="5">
        <f t="shared" si="41"/>
        <v>13.879999999999999</v>
      </c>
      <c r="O118" s="13">
        <v>-1</v>
      </c>
      <c r="P118" s="14"/>
      <c r="R118" s="14"/>
      <c r="U118" s="1">
        <f t="shared" si="39"/>
        <v>6.44</v>
      </c>
      <c r="V118" s="5">
        <f t="shared" si="40"/>
        <v>2.23</v>
      </c>
      <c r="AB118" s="1" t="s">
        <v>43</v>
      </c>
      <c r="AD118" s="5">
        <f>SUM(N115:N117)</f>
        <v>56.249999999999993</v>
      </c>
    </row>
    <row r="119" spans="1:30" x14ac:dyDescent="0.2">
      <c r="A119" s="1">
        <v>1934</v>
      </c>
      <c r="B119" s="22" t="s">
        <v>13</v>
      </c>
      <c r="C119" s="22" t="s">
        <v>13</v>
      </c>
      <c r="D119" s="22" t="s">
        <v>13</v>
      </c>
      <c r="E119" s="22" t="s">
        <v>13</v>
      </c>
      <c r="F119" s="22" t="s">
        <v>13</v>
      </c>
      <c r="G119" s="22" t="s">
        <v>13</v>
      </c>
      <c r="H119" s="22" t="s">
        <v>13</v>
      </c>
      <c r="I119" s="1">
        <v>2.63</v>
      </c>
      <c r="J119" s="1">
        <v>0.42</v>
      </c>
      <c r="K119" s="1">
        <v>1.61</v>
      </c>
      <c r="L119" s="1">
        <v>2.56</v>
      </c>
      <c r="M119" s="1">
        <v>1.95</v>
      </c>
      <c r="N119" s="5">
        <f t="shared" si="41"/>
        <v>9.17</v>
      </c>
      <c r="O119" s="13">
        <v>-7</v>
      </c>
      <c r="P119" s="14"/>
      <c r="R119" s="14"/>
      <c r="U119" s="1">
        <f t="shared" si="39"/>
        <v>6.12</v>
      </c>
      <c r="V119" s="5">
        <f t="shared" si="40"/>
        <v>0</v>
      </c>
      <c r="AB119" s="1" t="s">
        <v>70</v>
      </c>
      <c r="AD119" s="5">
        <f>SUM(N121:N154)</f>
        <v>523.27500000000009</v>
      </c>
    </row>
    <row r="120" spans="1:30" x14ac:dyDescent="0.2">
      <c r="A120" s="1">
        <v>1935</v>
      </c>
      <c r="B120" s="1">
        <v>0.62</v>
      </c>
      <c r="C120" s="22" t="s">
        <v>13</v>
      </c>
      <c r="D120" s="22" t="s">
        <v>13</v>
      </c>
      <c r="E120" s="1">
        <v>0.63</v>
      </c>
      <c r="F120" s="1">
        <v>0.47</v>
      </c>
      <c r="G120" s="1">
        <v>0.1</v>
      </c>
      <c r="H120" s="1">
        <v>1.03</v>
      </c>
      <c r="I120" s="1">
        <v>1.79</v>
      </c>
      <c r="J120" s="1">
        <v>0.12</v>
      </c>
      <c r="K120" s="1">
        <v>1.06</v>
      </c>
      <c r="L120" s="1">
        <v>5.62</v>
      </c>
      <c r="M120" s="1">
        <v>1.36</v>
      </c>
      <c r="N120" s="5">
        <f t="shared" si="41"/>
        <v>12.8</v>
      </c>
      <c r="O120" s="13">
        <v>-2</v>
      </c>
      <c r="P120" s="14"/>
      <c r="R120" s="14"/>
      <c r="U120" s="1">
        <f t="shared" si="39"/>
        <v>8.0399999999999991</v>
      </c>
      <c r="V120" s="5">
        <f t="shared" si="40"/>
        <v>1.2000000000000002</v>
      </c>
      <c r="AB120" s="1" t="s">
        <v>44</v>
      </c>
      <c r="AD120" s="5">
        <f>SUM(N156:N160)</f>
        <v>82.594999999999999</v>
      </c>
    </row>
    <row r="121" spans="1:30" x14ac:dyDescent="0.2">
      <c r="A121" s="1">
        <v>1936</v>
      </c>
      <c r="B121" s="1">
        <v>0.69</v>
      </c>
      <c r="C121" s="1">
        <v>1.46</v>
      </c>
      <c r="D121" s="1">
        <v>0.5</v>
      </c>
      <c r="E121" s="1">
        <v>0.76</v>
      </c>
      <c r="F121" s="1">
        <v>0.85</v>
      </c>
      <c r="G121" s="1">
        <v>0.48</v>
      </c>
      <c r="H121" s="1">
        <v>0.59</v>
      </c>
      <c r="I121" s="1">
        <v>1.58</v>
      </c>
      <c r="J121" s="1">
        <v>0.55000000000000004</v>
      </c>
      <c r="K121" s="1">
        <v>3.23</v>
      </c>
      <c r="L121" s="1">
        <v>1.32</v>
      </c>
      <c r="M121" s="1">
        <v>3.16</v>
      </c>
      <c r="N121" s="5">
        <f t="shared" si="41"/>
        <v>15.17</v>
      </c>
      <c r="P121" s="14"/>
      <c r="R121" s="14"/>
      <c r="U121" s="1">
        <f t="shared" si="39"/>
        <v>7.71</v>
      </c>
      <c r="V121" s="5">
        <f t="shared" si="40"/>
        <v>4.05</v>
      </c>
      <c r="AB121" s="1" t="s">
        <v>78</v>
      </c>
      <c r="AD121" s="5">
        <f>SUM(N164:N193)</f>
        <v>491.97000000000014</v>
      </c>
    </row>
    <row r="122" spans="1:30" x14ac:dyDescent="0.2">
      <c r="A122" s="1">
        <v>1937</v>
      </c>
      <c r="B122" s="1">
        <v>0.76</v>
      </c>
      <c r="C122" s="1">
        <v>7.0000000000000007E-2</v>
      </c>
      <c r="D122" s="1">
        <v>1.1299999999999999</v>
      </c>
      <c r="E122" s="1">
        <v>0.21</v>
      </c>
      <c r="F122" s="1">
        <v>0.87</v>
      </c>
      <c r="G122" s="1">
        <v>0.67</v>
      </c>
      <c r="H122" s="1">
        <v>0.36</v>
      </c>
      <c r="I122" s="1">
        <v>4.1500000000000004</v>
      </c>
      <c r="J122" s="1">
        <v>3.04</v>
      </c>
      <c r="K122" s="1">
        <v>1.01</v>
      </c>
      <c r="L122" s="1">
        <v>0.9</v>
      </c>
      <c r="M122" s="1">
        <v>1.74</v>
      </c>
      <c r="N122" s="5">
        <f t="shared" si="41"/>
        <v>14.910000000000002</v>
      </c>
      <c r="P122" s="14"/>
      <c r="R122" s="14"/>
      <c r="U122" s="1">
        <f t="shared" si="39"/>
        <v>3.6500000000000004</v>
      </c>
      <c r="V122" s="5">
        <f t="shared" si="40"/>
        <v>2.9499999999999997</v>
      </c>
      <c r="AB122" s="3" t="s">
        <v>79</v>
      </c>
      <c r="AC122" s="3"/>
      <c r="AD122" s="4">
        <f>(SUM(AD118:AD121))/72</f>
        <v>16.029027777777781</v>
      </c>
    </row>
    <row r="123" spans="1:30" x14ac:dyDescent="0.2">
      <c r="A123" s="1">
        <v>1938</v>
      </c>
      <c r="B123" s="1">
        <v>1.3</v>
      </c>
      <c r="C123" s="1">
        <v>0</v>
      </c>
      <c r="D123" s="1">
        <v>0.53</v>
      </c>
      <c r="E123" s="1">
        <v>0.35</v>
      </c>
      <c r="F123" s="1">
        <v>0.52</v>
      </c>
      <c r="G123" s="1">
        <v>1.1499999999999999</v>
      </c>
      <c r="H123" s="1">
        <v>0.15</v>
      </c>
      <c r="I123" s="1">
        <v>0.84</v>
      </c>
      <c r="J123" s="1">
        <v>1.62</v>
      </c>
      <c r="K123" s="1">
        <v>1.63</v>
      </c>
      <c r="L123" s="1">
        <v>0.49</v>
      </c>
      <c r="M123" s="1">
        <v>2.38</v>
      </c>
      <c r="N123" s="5">
        <f t="shared" si="41"/>
        <v>10.96</v>
      </c>
      <c r="P123" s="14"/>
      <c r="R123" s="14"/>
      <c r="U123" s="1">
        <f t="shared" si="39"/>
        <v>4.5</v>
      </c>
      <c r="V123" s="5">
        <f t="shared" si="40"/>
        <v>2.5499999999999998</v>
      </c>
      <c r="AB123" s="1" t="s">
        <v>80</v>
      </c>
      <c r="AD123" s="1">
        <v>16.053970588235295</v>
      </c>
    </row>
    <row r="124" spans="1:30" x14ac:dyDescent="0.2">
      <c r="A124" s="1">
        <v>1939</v>
      </c>
      <c r="B124" s="1">
        <v>1.52</v>
      </c>
      <c r="C124" s="1">
        <v>0.73</v>
      </c>
      <c r="D124" s="1">
        <v>0.82</v>
      </c>
      <c r="E124" s="1">
        <v>2.14</v>
      </c>
      <c r="F124" s="1">
        <v>0.84</v>
      </c>
      <c r="G124" s="1">
        <v>0.85</v>
      </c>
      <c r="H124" s="1">
        <v>0.68</v>
      </c>
      <c r="I124" s="1">
        <v>0.6</v>
      </c>
      <c r="J124" s="1">
        <v>0.34</v>
      </c>
      <c r="K124" s="1">
        <v>4.5199999999999996</v>
      </c>
      <c r="L124" s="1">
        <v>2.0499999999999998</v>
      </c>
      <c r="M124" s="1">
        <v>2</v>
      </c>
      <c r="N124" s="5">
        <f t="shared" si="41"/>
        <v>17.09</v>
      </c>
      <c r="P124" s="14"/>
      <c r="R124" s="14"/>
      <c r="U124" s="1">
        <f t="shared" si="39"/>
        <v>8.57</v>
      </c>
      <c r="V124" s="5">
        <f t="shared" si="40"/>
        <v>5.38</v>
      </c>
    </row>
    <row r="125" spans="1:30" x14ac:dyDescent="0.2">
      <c r="A125" s="1">
        <v>1940</v>
      </c>
      <c r="B125" s="1">
        <v>1.62</v>
      </c>
      <c r="C125" s="1">
        <v>1.79</v>
      </c>
      <c r="D125" s="1">
        <v>0.6</v>
      </c>
      <c r="E125" s="1">
        <v>0.6</v>
      </c>
      <c r="F125" s="1">
        <v>1.63</v>
      </c>
      <c r="G125" s="1">
        <v>1.34</v>
      </c>
      <c r="H125" s="1">
        <v>0.44</v>
      </c>
      <c r="I125" s="1">
        <v>1.69</v>
      </c>
      <c r="J125" s="1">
        <v>0.25</v>
      </c>
      <c r="K125" s="1">
        <v>3.45</v>
      </c>
      <c r="L125" s="1">
        <v>1.74</v>
      </c>
      <c r="M125" s="1">
        <v>3.12</v>
      </c>
      <c r="N125" s="5">
        <f t="shared" si="41"/>
        <v>18.27</v>
      </c>
      <c r="P125" s="14">
        <f t="shared" ref="P125:P188" si="42">(SUM(N116:N125)/10)</f>
        <v>14.999000000000001</v>
      </c>
      <c r="R125" s="14"/>
      <c r="U125" s="1">
        <f t="shared" si="39"/>
        <v>8.31</v>
      </c>
      <c r="V125" s="5">
        <f t="shared" si="40"/>
        <v>5.96</v>
      </c>
      <c r="AB125" s="1" t="s">
        <v>71</v>
      </c>
    </row>
    <row r="126" spans="1:30" x14ac:dyDescent="0.2">
      <c r="A126" s="1">
        <v>1941</v>
      </c>
      <c r="B126" s="1">
        <v>0.59</v>
      </c>
      <c r="C126" s="1">
        <v>2.2799999999999998</v>
      </c>
      <c r="D126" s="1">
        <v>3.32</v>
      </c>
      <c r="E126" s="1">
        <v>1.51</v>
      </c>
      <c r="F126" s="1">
        <v>1.61</v>
      </c>
      <c r="G126" s="1">
        <v>3.79</v>
      </c>
      <c r="H126" s="1">
        <v>2.17</v>
      </c>
      <c r="I126" s="1">
        <v>2.4300000000000002</v>
      </c>
      <c r="J126" s="1">
        <v>1.42</v>
      </c>
      <c r="K126" s="1">
        <v>2.64</v>
      </c>
      <c r="L126" s="1">
        <v>2.34</v>
      </c>
      <c r="M126" s="1">
        <v>3.15</v>
      </c>
      <c r="N126" s="5">
        <f t="shared" si="41"/>
        <v>27.249999999999996</v>
      </c>
      <c r="P126" s="14">
        <f t="shared" si="42"/>
        <v>15.526000000000002</v>
      </c>
      <c r="R126" s="14"/>
      <c r="U126" s="1">
        <f t="shared" si="39"/>
        <v>8.1300000000000008</v>
      </c>
      <c r="V126" s="5">
        <f t="shared" si="40"/>
        <v>12.509999999999998</v>
      </c>
      <c r="AB126" s="1">
        <f>SUM(N70:N81)</f>
        <v>171.8</v>
      </c>
    </row>
    <row r="127" spans="1:30" x14ac:dyDescent="0.2">
      <c r="A127" s="1">
        <v>1942</v>
      </c>
      <c r="B127" s="1">
        <v>3.37</v>
      </c>
      <c r="C127" s="1">
        <v>0.77</v>
      </c>
      <c r="D127" s="1">
        <v>0.76</v>
      </c>
      <c r="E127" s="1">
        <v>0.05</v>
      </c>
      <c r="F127" s="1">
        <v>0.92</v>
      </c>
      <c r="G127" s="1">
        <v>1.04</v>
      </c>
      <c r="H127" s="1">
        <v>3.38</v>
      </c>
      <c r="I127" s="1">
        <v>0.59</v>
      </c>
      <c r="J127" s="1">
        <v>0.57999999999999996</v>
      </c>
      <c r="K127" s="1">
        <v>0.69</v>
      </c>
      <c r="L127" s="1">
        <v>1.78</v>
      </c>
      <c r="M127" s="1">
        <v>2.42</v>
      </c>
      <c r="N127" s="5">
        <f t="shared" si="41"/>
        <v>16.349999999999998</v>
      </c>
      <c r="P127" s="14">
        <f t="shared" si="42"/>
        <v>15.584999999999997</v>
      </c>
      <c r="R127" s="14"/>
      <c r="U127" s="1">
        <f t="shared" si="39"/>
        <v>4.8899999999999997</v>
      </c>
      <c r="V127" s="5">
        <f t="shared" si="40"/>
        <v>3.54</v>
      </c>
      <c r="AB127" s="1" t="s">
        <v>72</v>
      </c>
    </row>
    <row r="128" spans="1:30" x14ac:dyDescent="0.2">
      <c r="A128" s="1">
        <v>1943</v>
      </c>
      <c r="B128" s="1">
        <v>1.1599999999999999</v>
      </c>
      <c r="C128" s="1">
        <v>5.0000000000000001E-3</v>
      </c>
      <c r="D128" s="1">
        <v>1.31</v>
      </c>
      <c r="E128" s="1">
        <v>0.43</v>
      </c>
      <c r="F128" s="1">
        <v>0.14000000000000001</v>
      </c>
      <c r="G128" s="1">
        <v>0.97</v>
      </c>
      <c r="H128" s="1">
        <v>0.49</v>
      </c>
      <c r="I128" s="1">
        <v>1.29</v>
      </c>
      <c r="J128" s="1">
        <v>2.39</v>
      </c>
      <c r="K128" s="1">
        <v>2.74</v>
      </c>
      <c r="L128" s="1">
        <v>0.91</v>
      </c>
      <c r="M128" s="1">
        <v>0.91</v>
      </c>
      <c r="N128" s="5">
        <f t="shared" si="41"/>
        <v>12.745000000000001</v>
      </c>
      <c r="P128" s="14">
        <f t="shared" si="42"/>
        <v>15.471500000000001</v>
      </c>
      <c r="R128" s="14"/>
      <c r="U128" s="1">
        <f t="shared" si="39"/>
        <v>4.5600000000000005</v>
      </c>
      <c r="V128" s="5">
        <f t="shared" si="40"/>
        <v>2.8549999999999995</v>
      </c>
      <c r="AB128" s="1">
        <f>AB126/12</f>
        <v>14.316666666666668</v>
      </c>
    </row>
    <row r="129" spans="1:22" x14ac:dyDescent="0.2">
      <c r="A129" s="1">
        <v>1944</v>
      </c>
      <c r="B129" s="1">
        <v>0.88</v>
      </c>
      <c r="C129" s="1">
        <v>0.89</v>
      </c>
      <c r="D129" s="1">
        <v>2.02</v>
      </c>
      <c r="E129" s="1">
        <v>0.66</v>
      </c>
      <c r="F129" s="1">
        <v>0.56000000000000005</v>
      </c>
      <c r="G129" s="1">
        <v>0.8</v>
      </c>
      <c r="H129" s="1">
        <v>1.28</v>
      </c>
      <c r="I129" s="1">
        <v>1.29</v>
      </c>
      <c r="J129" s="1">
        <v>0.23</v>
      </c>
      <c r="K129" s="1">
        <v>2.74</v>
      </c>
      <c r="L129" s="1">
        <v>3.1</v>
      </c>
      <c r="M129" s="1">
        <v>1.17</v>
      </c>
      <c r="N129" s="5">
        <f t="shared" si="41"/>
        <v>15.62</v>
      </c>
      <c r="P129" s="14">
        <f t="shared" si="42"/>
        <v>16.116500000000002</v>
      </c>
      <c r="R129" s="14"/>
      <c r="U129" s="1">
        <f t="shared" si="39"/>
        <v>7.01</v>
      </c>
      <c r="V129" s="5">
        <f t="shared" si="40"/>
        <v>4.9300000000000006</v>
      </c>
    </row>
    <row r="130" spans="1:22" x14ac:dyDescent="0.2">
      <c r="A130" s="1">
        <v>1945</v>
      </c>
      <c r="B130" s="1">
        <v>4.4000000000000004</v>
      </c>
      <c r="C130" s="1">
        <v>1.04</v>
      </c>
      <c r="D130" s="1">
        <v>1.04</v>
      </c>
      <c r="E130" s="1">
        <v>1.72</v>
      </c>
      <c r="F130" s="1">
        <v>0.06</v>
      </c>
      <c r="G130" s="1">
        <v>1.2</v>
      </c>
      <c r="H130" s="1">
        <v>1.95</v>
      </c>
      <c r="I130" s="1">
        <v>0.02</v>
      </c>
      <c r="J130" s="1">
        <v>0.19</v>
      </c>
      <c r="K130" s="1">
        <v>1.23</v>
      </c>
      <c r="L130" s="1">
        <v>2.5099999999999998</v>
      </c>
      <c r="M130" s="1">
        <v>1.32</v>
      </c>
      <c r="N130" s="5">
        <f t="shared" si="41"/>
        <v>16.68</v>
      </c>
      <c r="P130" s="14">
        <f t="shared" si="42"/>
        <v>16.5045</v>
      </c>
      <c r="R130" s="14"/>
      <c r="U130" s="1">
        <f t="shared" si="39"/>
        <v>5.0599999999999996</v>
      </c>
      <c r="V130" s="5">
        <f t="shared" si="40"/>
        <v>5.0599999999999996</v>
      </c>
    </row>
    <row r="131" spans="1:22" x14ac:dyDescent="0.2">
      <c r="A131" s="1">
        <v>1946</v>
      </c>
      <c r="B131" s="1">
        <v>0.57999999999999996</v>
      </c>
      <c r="C131" s="1">
        <v>5.0000000000000001E-3</v>
      </c>
      <c r="D131" s="1">
        <v>0.8</v>
      </c>
      <c r="E131" s="1">
        <v>0.19</v>
      </c>
      <c r="F131" s="1">
        <v>0.45</v>
      </c>
      <c r="G131" s="1">
        <v>0.8</v>
      </c>
      <c r="H131" s="1">
        <v>0.08</v>
      </c>
      <c r="I131" s="1">
        <v>0.51</v>
      </c>
      <c r="J131" s="1">
        <v>0.01</v>
      </c>
      <c r="K131" s="1">
        <v>1.77</v>
      </c>
      <c r="L131" s="1">
        <v>3.97</v>
      </c>
      <c r="M131" s="1">
        <v>0.44</v>
      </c>
      <c r="N131" s="5">
        <f t="shared" si="41"/>
        <v>9.6050000000000004</v>
      </c>
      <c r="P131" s="14">
        <f t="shared" si="42"/>
        <v>15.947999999999999</v>
      </c>
      <c r="R131" s="14"/>
      <c r="U131" s="1">
        <f t="shared" si="39"/>
        <v>6.1800000000000006</v>
      </c>
      <c r="V131" s="5">
        <f t="shared" si="40"/>
        <v>2.2450000000000001</v>
      </c>
    </row>
    <row r="132" spans="1:22" x14ac:dyDescent="0.2">
      <c r="A132" s="1">
        <v>1947</v>
      </c>
      <c r="B132" s="1">
        <v>1.57</v>
      </c>
      <c r="C132" s="1">
        <v>0.8</v>
      </c>
      <c r="D132" s="1">
        <v>0.21</v>
      </c>
      <c r="E132" s="1">
        <v>0.32</v>
      </c>
      <c r="F132" s="1">
        <v>0.38</v>
      </c>
      <c r="G132" s="1">
        <v>0.49</v>
      </c>
      <c r="H132" s="1">
        <v>0.1</v>
      </c>
      <c r="I132" s="1">
        <v>1.8</v>
      </c>
      <c r="J132" s="1">
        <v>0.08</v>
      </c>
      <c r="K132" s="1">
        <v>0.99</v>
      </c>
      <c r="L132" s="1">
        <v>4.54</v>
      </c>
      <c r="M132" s="1">
        <v>1.37</v>
      </c>
      <c r="N132" s="5">
        <f t="shared" si="41"/>
        <v>12.650000000000002</v>
      </c>
      <c r="P132" s="14">
        <f t="shared" si="42"/>
        <v>15.722</v>
      </c>
      <c r="R132" s="14"/>
      <c r="U132" s="1">
        <f t="shared" si="39"/>
        <v>6.9</v>
      </c>
      <c r="V132" s="5">
        <f t="shared" si="40"/>
        <v>2.2000000000000002</v>
      </c>
    </row>
    <row r="133" spans="1:22" x14ac:dyDescent="0.2">
      <c r="A133" s="1">
        <v>1948</v>
      </c>
      <c r="B133" s="1">
        <v>0.56999999999999995</v>
      </c>
      <c r="C133" s="1">
        <v>0.74</v>
      </c>
      <c r="D133" s="1">
        <v>1.66</v>
      </c>
      <c r="E133" s="1">
        <v>0.41</v>
      </c>
      <c r="F133" s="1">
        <v>3.03</v>
      </c>
      <c r="G133" s="1">
        <v>1.5</v>
      </c>
      <c r="H133" s="1">
        <v>0.24</v>
      </c>
      <c r="I133" s="1">
        <v>1.83</v>
      </c>
      <c r="J133" s="1">
        <v>1.28</v>
      </c>
      <c r="K133" s="1">
        <v>1.52</v>
      </c>
      <c r="L133" s="1">
        <v>2.65</v>
      </c>
      <c r="M133" s="1">
        <v>1.02</v>
      </c>
      <c r="N133" s="5">
        <f t="shared" si="41"/>
        <v>16.45</v>
      </c>
      <c r="P133" s="14">
        <f t="shared" si="42"/>
        <v>16.270999999999997</v>
      </c>
      <c r="R133" s="14"/>
      <c r="U133" s="1">
        <f t="shared" si="39"/>
        <v>5.1899999999999995</v>
      </c>
      <c r="V133" s="5">
        <f t="shared" si="40"/>
        <v>7.34</v>
      </c>
    </row>
    <row r="134" spans="1:22" x14ac:dyDescent="0.2">
      <c r="A134" s="1">
        <v>1949</v>
      </c>
      <c r="B134" s="1">
        <v>1.48</v>
      </c>
      <c r="C134" s="1">
        <v>5.0000000000000001E-3</v>
      </c>
      <c r="D134" s="1">
        <v>0.2</v>
      </c>
      <c r="E134" s="1">
        <v>3.11</v>
      </c>
      <c r="F134" s="1">
        <v>0.83</v>
      </c>
      <c r="G134" s="1">
        <v>0.84</v>
      </c>
      <c r="H134" s="1">
        <v>1.29</v>
      </c>
      <c r="I134" s="1">
        <v>1.99</v>
      </c>
      <c r="J134" s="1">
        <v>2.41</v>
      </c>
      <c r="K134" s="1">
        <v>5.29</v>
      </c>
      <c r="L134" s="1">
        <v>1.06</v>
      </c>
      <c r="M134" s="1">
        <v>1.46</v>
      </c>
      <c r="N134" s="5">
        <f t="shared" si="41"/>
        <v>19.965</v>
      </c>
      <c r="P134" s="14">
        <f t="shared" si="42"/>
        <v>16.558499999999999</v>
      </c>
      <c r="R134" s="14"/>
      <c r="U134" s="1">
        <f t="shared" si="39"/>
        <v>7.81</v>
      </c>
      <c r="V134" s="5">
        <f t="shared" si="40"/>
        <v>4.9849999999999994</v>
      </c>
    </row>
    <row r="135" spans="1:22" x14ac:dyDescent="0.2">
      <c r="A135" s="1">
        <v>1950</v>
      </c>
      <c r="B135" s="1">
        <v>0.12</v>
      </c>
      <c r="C135" s="1">
        <v>5.0000000000000001E-3</v>
      </c>
      <c r="D135" s="1">
        <v>0.61</v>
      </c>
      <c r="E135" s="1">
        <v>0.28000000000000003</v>
      </c>
      <c r="F135" s="1">
        <v>0.47</v>
      </c>
      <c r="G135" s="1">
        <v>0.04</v>
      </c>
      <c r="H135" s="1">
        <v>0.85</v>
      </c>
      <c r="I135" s="1">
        <v>0.05</v>
      </c>
      <c r="J135" s="1">
        <v>0.68</v>
      </c>
      <c r="K135" s="1">
        <v>4.12</v>
      </c>
      <c r="L135" s="1">
        <v>1.05</v>
      </c>
      <c r="M135" s="1">
        <v>1.32</v>
      </c>
      <c r="N135" s="5">
        <f t="shared" si="41"/>
        <v>9.5950000000000006</v>
      </c>
      <c r="P135" s="14">
        <f t="shared" si="42"/>
        <v>15.691000000000003</v>
      </c>
      <c r="R135" s="14">
        <f t="shared" ref="R135:R196" si="43">(SUM(N116:N135)/20)</f>
        <v>15.344999999999999</v>
      </c>
      <c r="U135" s="1">
        <f t="shared" si="39"/>
        <v>6.49</v>
      </c>
      <c r="V135" s="5">
        <f t="shared" si="40"/>
        <v>1.405</v>
      </c>
    </row>
    <row r="136" spans="1:22" x14ac:dyDescent="0.2">
      <c r="A136" s="28">
        <v>1951</v>
      </c>
      <c r="B136" s="1">
        <v>0.01</v>
      </c>
      <c r="C136" s="1">
        <v>0</v>
      </c>
      <c r="D136" s="1">
        <v>0.11</v>
      </c>
      <c r="E136" s="1">
        <v>0.88</v>
      </c>
      <c r="F136" s="1">
        <v>0.56999999999999995</v>
      </c>
      <c r="G136" s="1">
        <v>0.08</v>
      </c>
      <c r="H136" s="1">
        <v>0.93</v>
      </c>
      <c r="I136" s="1">
        <v>0.53</v>
      </c>
      <c r="J136" s="1">
        <v>0.08</v>
      </c>
      <c r="K136" s="1">
        <v>3.45</v>
      </c>
      <c r="L136" s="1">
        <v>4.72</v>
      </c>
      <c r="M136" s="1">
        <v>0.75</v>
      </c>
      <c r="N136" s="5">
        <f t="shared" si="41"/>
        <v>12.11</v>
      </c>
      <c r="P136" s="14">
        <f t="shared" si="42"/>
        <v>14.177000000000003</v>
      </c>
      <c r="R136" s="14">
        <f t="shared" si="43"/>
        <v>14.851500000000001</v>
      </c>
      <c r="U136" s="1">
        <f t="shared" si="39"/>
        <v>8.92</v>
      </c>
      <c r="V136" s="5">
        <f t="shared" si="40"/>
        <v>1.6400000000000001</v>
      </c>
    </row>
    <row r="137" spans="1:22" x14ac:dyDescent="0.2">
      <c r="A137" s="1">
        <v>1952</v>
      </c>
      <c r="B137" s="1">
        <v>1.24</v>
      </c>
      <c r="C137" s="1">
        <v>0.57999999999999996</v>
      </c>
      <c r="D137" s="1">
        <v>0.62</v>
      </c>
      <c r="E137" s="1">
        <v>1.36</v>
      </c>
      <c r="F137" s="1">
        <v>0.15</v>
      </c>
      <c r="G137" s="1">
        <v>0.65</v>
      </c>
      <c r="H137" s="1">
        <v>0.87</v>
      </c>
      <c r="I137" s="1">
        <v>2.25</v>
      </c>
      <c r="J137" s="1">
        <v>0.63</v>
      </c>
      <c r="K137" s="1">
        <v>3.78</v>
      </c>
      <c r="L137" s="1">
        <v>3.16</v>
      </c>
      <c r="M137" s="1">
        <v>0.84</v>
      </c>
      <c r="N137" s="5">
        <f t="shared" si="41"/>
        <v>16.13</v>
      </c>
      <c r="P137" s="14">
        <f t="shared" si="42"/>
        <v>14.155000000000001</v>
      </c>
      <c r="R137" s="14">
        <f t="shared" si="43"/>
        <v>14.87</v>
      </c>
      <c r="U137" s="1">
        <f t="shared" si="39"/>
        <v>7.7799999999999994</v>
      </c>
      <c r="V137" s="5">
        <f t="shared" si="40"/>
        <v>3.36</v>
      </c>
    </row>
    <row r="138" spans="1:22" x14ac:dyDescent="0.2">
      <c r="A138" s="1">
        <v>1953</v>
      </c>
      <c r="B138" s="1">
        <v>0</v>
      </c>
      <c r="C138" s="1">
        <v>1.68</v>
      </c>
      <c r="D138" s="1">
        <v>0.73</v>
      </c>
      <c r="E138" s="1">
        <v>0.09</v>
      </c>
      <c r="F138" s="1">
        <v>0.94</v>
      </c>
      <c r="G138" s="1">
        <v>0.74</v>
      </c>
      <c r="H138" s="1">
        <v>0.28999999999999998</v>
      </c>
      <c r="I138" s="1">
        <v>1.2</v>
      </c>
      <c r="J138" s="1">
        <v>0.76</v>
      </c>
      <c r="K138" s="1">
        <v>2.93</v>
      </c>
      <c r="L138" s="1">
        <v>1.51</v>
      </c>
      <c r="M138" s="1">
        <v>0.35</v>
      </c>
      <c r="N138" s="5">
        <f t="shared" si="41"/>
        <v>11.219999999999999</v>
      </c>
      <c r="P138" s="14">
        <f t="shared" si="42"/>
        <v>14.002500000000001</v>
      </c>
      <c r="R138" s="14">
        <f t="shared" si="43"/>
        <v>14.737</v>
      </c>
      <c r="U138" s="1">
        <f t="shared" si="39"/>
        <v>4.79</v>
      </c>
      <c r="V138" s="5">
        <f t="shared" si="40"/>
        <v>4.18</v>
      </c>
    </row>
    <row r="139" spans="1:22" x14ac:dyDescent="0.2">
      <c r="A139" s="1">
        <v>1954</v>
      </c>
      <c r="B139" s="1">
        <v>2.04</v>
      </c>
      <c r="C139" s="1">
        <v>2.56</v>
      </c>
      <c r="D139" s="1">
        <v>0.59</v>
      </c>
      <c r="E139" s="1">
        <v>0.88</v>
      </c>
      <c r="F139" s="1">
        <v>0.03</v>
      </c>
      <c r="G139" s="1">
        <v>1.41</v>
      </c>
      <c r="H139" s="1">
        <v>5.0000000000000001E-3</v>
      </c>
      <c r="I139" s="1">
        <v>2.2000000000000002</v>
      </c>
      <c r="J139" s="1">
        <v>0.11</v>
      </c>
      <c r="K139" s="1">
        <v>4</v>
      </c>
      <c r="L139" s="1">
        <v>1.73</v>
      </c>
      <c r="M139" s="1">
        <v>0.7</v>
      </c>
      <c r="N139" s="5">
        <f t="shared" si="41"/>
        <v>16.254999999999999</v>
      </c>
      <c r="P139" s="14">
        <f t="shared" si="42"/>
        <v>14.065999999999999</v>
      </c>
      <c r="R139" s="14">
        <f t="shared" si="43"/>
        <v>15.091250000000002</v>
      </c>
      <c r="U139" s="1">
        <f t="shared" si="39"/>
        <v>6.4300000000000006</v>
      </c>
      <c r="V139" s="5">
        <f t="shared" si="40"/>
        <v>5.4700000000000006</v>
      </c>
    </row>
    <row r="140" spans="1:22" x14ac:dyDescent="0.2">
      <c r="A140" s="1">
        <v>1955</v>
      </c>
      <c r="B140" s="1">
        <v>0.27</v>
      </c>
      <c r="C140" s="1">
        <v>7.0000000000000007E-2</v>
      </c>
      <c r="D140" s="1">
        <v>0.38</v>
      </c>
      <c r="E140" s="1">
        <v>0.38</v>
      </c>
      <c r="F140" s="1">
        <v>0.45</v>
      </c>
      <c r="G140" s="1">
        <v>0.06</v>
      </c>
      <c r="H140" s="1">
        <v>0.41</v>
      </c>
      <c r="I140" s="1">
        <v>1.61</v>
      </c>
      <c r="J140" s="1">
        <v>0.2</v>
      </c>
      <c r="K140" s="1">
        <v>1.68</v>
      </c>
      <c r="L140" s="1">
        <v>3.04</v>
      </c>
      <c r="M140" s="1">
        <v>0.7</v>
      </c>
      <c r="N140" s="5">
        <f t="shared" si="41"/>
        <v>9.25</v>
      </c>
      <c r="P140" s="14">
        <f t="shared" si="42"/>
        <v>13.322999999999999</v>
      </c>
      <c r="R140" s="14">
        <f t="shared" si="43"/>
        <v>14.913749999999999</v>
      </c>
      <c r="U140" s="1">
        <f t="shared" si="39"/>
        <v>5.42</v>
      </c>
      <c r="V140" s="5">
        <f t="shared" si="40"/>
        <v>1.34</v>
      </c>
    </row>
    <row r="141" spans="1:22" x14ac:dyDescent="0.2">
      <c r="A141" s="28">
        <v>1956</v>
      </c>
      <c r="B141" s="1">
        <v>5.0000000000000001E-3</v>
      </c>
      <c r="C141" s="1">
        <v>0.12</v>
      </c>
      <c r="D141" s="1">
        <v>0.98</v>
      </c>
      <c r="E141" s="1">
        <v>1.17</v>
      </c>
      <c r="F141" s="1">
        <v>0.6</v>
      </c>
      <c r="G141" s="1">
        <v>0</v>
      </c>
      <c r="H141" s="1">
        <v>0.04</v>
      </c>
      <c r="I141" s="1">
        <v>0.68</v>
      </c>
      <c r="J141" s="1">
        <v>0.44</v>
      </c>
      <c r="K141" s="1">
        <v>0.7</v>
      </c>
      <c r="L141" s="1">
        <v>1.03</v>
      </c>
      <c r="M141" s="1">
        <v>0</v>
      </c>
      <c r="N141" s="5">
        <f t="shared" si="41"/>
        <v>5.7650000000000006</v>
      </c>
      <c r="P141" s="14">
        <f t="shared" si="42"/>
        <v>12.938999999999998</v>
      </c>
      <c r="R141" s="14">
        <f t="shared" si="43"/>
        <v>14.4435</v>
      </c>
      <c r="U141" s="1">
        <f t="shared" si="39"/>
        <v>1.73</v>
      </c>
      <c r="V141" s="5">
        <f t="shared" si="40"/>
        <v>2.87</v>
      </c>
    </row>
    <row r="142" spans="1:22" x14ac:dyDescent="0.2">
      <c r="A142" s="28">
        <v>1957</v>
      </c>
      <c r="B142" s="1">
        <v>0.26</v>
      </c>
      <c r="C142" s="1">
        <v>0.02</v>
      </c>
      <c r="D142" s="1">
        <v>5.0000000000000001E-3</v>
      </c>
      <c r="E142" s="1">
        <v>1.17</v>
      </c>
      <c r="F142" s="1">
        <v>0.71</v>
      </c>
      <c r="G142" s="1">
        <v>1.4</v>
      </c>
      <c r="H142" s="1">
        <v>1.29</v>
      </c>
      <c r="I142" s="1">
        <v>1.05</v>
      </c>
      <c r="J142" s="1">
        <v>0.42</v>
      </c>
      <c r="K142" s="1">
        <v>3.15</v>
      </c>
      <c r="L142" s="1">
        <v>4.5</v>
      </c>
      <c r="M142" s="1">
        <v>0.06</v>
      </c>
      <c r="N142" s="5">
        <f t="shared" si="41"/>
        <v>14.035</v>
      </c>
      <c r="P142" s="14">
        <f t="shared" si="42"/>
        <v>13.077500000000001</v>
      </c>
      <c r="R142" s="14">
        <f t="shared" si="43"/>
        <v>14.399750000000001</v>
      </c>
      <c r="U142" s="1">
        <f t="shared" si="39"/>
        <v>7.71</v>
      </c>
      <c r="V142" s="5">
        <f t="shared" si="40"/>
        <v>3.3049999999999997</v>
      </c>
    </row>
    <row r="143" spans="1:22" x14ac:dyDescent="0.2">
      <c r="A143" s="1">
        <v>1958</v>
      </c>
      <c r="B143" s="1">
        <v>4.96</v>
      </c>
      <c r="C143" s="1">
        <v>2.35</v>
      </c>
      <c r="D143" s="1">
        <v>0.16</v>
      </c>
      <c r="E143" s="1">
        <v>0.84</v>
      </c>
      <c r="F143" s="1">
        <v>0.34</v>
      </c>
      <c r="G143" s="1">
        <v>1.72</v>
      </c>
      <c r="H143" s="1">
        <v>1.5</v>
      </c>
      <c r="I143" s="1">
        <v>1.65</v>
      </c>
      <c r="J143" s="1">
        <v>0.39</v>
      </c>
      <c r="K143" s="1">
        <v>0.52</v>
      </c>
      <c r="L143" s="1">
        <v>2.36</v>
      </c>
      <c r="M143" s="1">
        <v>4.91</v>
      </c>
      <c r="N143" s="5">
        <f t="shared" si="41"/>
        <v>21.700000000000003</v>
      </c>
      <c r="P143" s="14">
        <f t="shared" si="42"/>
        <v>13.602499999999997</v>
      </c>
      <c r="R143" s="14">
        <f t="shared" si="43"/>
        <v>14.93675</v>
      </c>
      <c r="U143" s="1">
        <f t="shared" si="39"/>
        <v>7.79</v>
      </c>
      <c r="V143" s="5">
        <f t="shared" si="40"/>
        <v>5.41</v>
      </c>
    </row>
    <row r="144" spans="1:22" x14ac:dyDescent="0.2">
      <c r="A144" s="1">
        <v>1959</v>
      </c>
      <c r="B144" s="1">
        <v>0.99</v>
      </c>
      <c r="C144" s="1">
        <v>0.68</v>
      </c>
      <c r="D144" s="1">
        <v>0.69</v>
      </c>
      <c r="E144" s="1">
        <v>0.14000000000000001</v>
      </c>
      <c r="F144" s="1">
        <v>0.48</v>
      </c>
      <c r="G144" s="1">
        <v>0.68</v>
      </c>
      <c r="H144" s="1">
        <v>1.01</v>
      </c>
      <c r="I144" s="1">
        <v>1.93</v>
      </c>
      <c r="J144" s="1">
        <v>2.36</v>
      </c>
      <c r="K144" s="1">
        <v>2.25</v>
      </c>
      <c r="L144" s="1">
        <v>6.48</v>
      </c>
      <c r="M144" s="1">
        <v>0.16</v>
      </c>
      <c r="N144" s="5">
        <f t="shared" si="41"/>
        <v>17.849999999999998</v>
      </c>
      <c r="P144" s="14">
        <f t="shared" si="42"/>
        <v>13.391</v>
      </c>
      <c r="R144" s="14">
        <f t="shared" si="43"/>
        <v>14.97475</v>
      </c>
      <c r="U144" s="1">
        <f t="shared" si="39"/>
        <v>8.89</v>
      </c>
      <c r="V144" s="5">
        <f t="shared" si="40"/>
        <v>2.6700000000000004</v>
      </c>
    </row>
    <row r="145" spans="1:22" x14ac:dyDescent="0.2">
      <c r="A145" s="1">
        <v>1960</v>
      </c>
      <c r="B145" s="1">
        <v>3.31</v>
      </c>
      <c r="C145" s="1">
        <v>0.47</v>
      </c>
      <c r="D145" s="1">
        <v>1.2</v>
      </c>
      <c r="E145" s="1">
        <v>1.36</v>
      </c>
      <c r="F145" s="1">
        <v>1.42</v>
      </c>
      <c r="G145" s="1">
        <v>1.21</v>
      </c>
      <c r="H145" s="1">
        <v>5.0000000000000001E-3</v>
      </c>
      <c r="I145" s="1">
        <v>0.48</v>
      </c>
      <c r="J145" s="1">
        <v>0.94</v>
      </c>
      <c r="K145" s="1">
        <v>2.5</v>
      </c>
      <c r="L145" s="1">
        <v>1.72</v>
      </c>
      <c r="M145" s="1">
        <v>2.34</v>
      </c>
      <c r="N145" s="5">
        <f t="shared" si="41"/>
        <v>16.955000000000002</v>
      </c>
      <c r="P145" s="14">
        <f t="shared" si="42"/>
        <v>14.126999999999999</v>
      </c>
      <c r="R145" s="14">
        <f t="shared" si="43"/>
        <v>14.909000000000002</v>
      </c>
      <c r="U145" s="1">
        <f t="shared" si="39"/>
        <v>6.56</v>
      </c>
      <c r="V145" s="5">
        <f t="shared" si="40"/>
        <v>5.66</v>
      </c>
    </row>
    <row r="146" spans="1:22" x14ac:dyDescent="0.2">
      <c r="A146" s="1">
        <v>1961</v>
      </c>
      <c r="B146" s="1">
        <v>3.5</v>
      </c>
      <c r="C146" s="1">
        <v>0.56000000000000005</v>
      </c>
      <c r="D146" s="1">
        <v>1.23</v>
      </c>
      <c r="E146" s="1">
        <v>0.95</v>
      </c>
      <c r="F146" s="1">
        <v>0.48</v>
      </c>
      <c r="G146" s="1">
        <v>1.42</v>
      </c>
      <c r="H146" s="1">
        <v>1.03</v>
      </c>
      <c r="I146" s="1">
        <v>0.01</v>
      </c>
      <c r="J146" s="1">
        <v>0.4</v>
      </c>
      <c r="K146" s="1">
        <v>1.36</v>
      </c>
      <c r="L146" s="1">
        <v>5.01</v>
      </c>
      <c r="M146" s="1">
        <v>1.07</v>
      </c>
      <c r="N146" s="5">
        <f t="shared" si="41"/>
        <v>17.02</v>
      </c>
      <c r="P146" s="14">
        <f t="shared" si="42"/>
        <v>14.618</v>
      </c>
      <c r="R146" s="14">
        <f t="shared" si="43"/>
        <v>14.397500000000003</v>
      </c>
      <c r="U146" s="1">
        <f t="shared" si="39"/>
        <v>7.44</v>
      </c>
      <c r="V146" s="5">
        <f t="shared" si="40"/>
        <v>4.6400000000000006</v>
      </c>
    </row>
    <row r="147" spans="1:22" x14ac:dyDescent="0.2">
      <c r="A147" s="1">
        <v>1962</v>
      </c>
      <c r="B147" s="1">
        <v>1.26</v>
      </c>
      <c r="C147" s="1">
        <v>0.78</v>
      </c>
      <c r="D147" s="1">
        <v>1.86</v>
      </c>
      <c r="E147" s="1">
        <v>0.71</v>
      </c>
      <c r="F147" s="1">
        <v>0.13</v>
      </c>
      <c r="G147" s="1">
        <v>0.14000000000000001</v>
      </c>
      <c r="H147" s="1">
        <v>0.41</v>
      </c>
      <c r="I147" s="1">
        <v>0.17</v>
      </c>
      <c r="J147" s="1">
        <v>0.37</v>
      </c>
      <c r="K147" s="1">
        <v>3.54</v>
      </c>
      <c r="L147" s="1">
        <v>0.35</v>
      </c>
      <c r="M147" s="1">
        <v>2</v>
      </c>
      <c r="N147" s="5">
        <f t="shared" si="41"/>
        <v>11.72</v>
      </c>
      <c r="P147" s="14">
        <f t="shared" si="42"/>
        <v>14.176999999999998</v>
      </c>
      <c r="R147" s="14">
        <f t="shared" si="43"/>
        <v>14.166000000000002</v>
      </c>
      <c r="U147" s="1">
        <f t="shared" ref="U147:U178" si="44">SUM(K147:M147)</f>
        <v>5.8900000000000006</v>
      </c>
      <c r="V147" s="5">
        <f t="shared" ref="V147:V178" si="45">SUM(C147:G147)</f>
        <v>3.62</v>
      </c>
    </row>
    <row r="148" spans="1:22" x14ac:dyDescent="0.2">
      <c r="A148" s="1">
        <v>1963</v>
      </c>
      <c r="B148" s="1">
        <v>1.51</v>
      </c>
      <c r="C148" s="1">
        <v>1.66</v>
      </c>
      <c r="D148" s="1">
        <v>1.38</v>
      </c>
      <c r="E148" s="1">
        <v>1.47</v>
      </c>
      <c r="F148" s="1">
        <v>1.75</v>
      </c>
      <c r="G148" s="1">
        <v>0.62</v>
      </c>
      <c r="H148" s="1">
        <v>0.24</v>
      </c>
      <c r="I148" s="1">
        <v>0.13</v>
      </c>
      <c r="J148" s="1">
        <v>1.56</v>
      </c>
      <c r="K148" s="1">
        <v>1.28</v>
      </c>
      <c r="L148" s="1">
        <v>3</v>
      </c>
      <c r="M148" s="1">
        <v>2.02</v>
      </c>
      <c r="N148" s="5">
        <f t="shared" si="41"/>
        <v>16.62</v>
      </c>
      <c r="P148" s="14">
        <f t="shared" si="42"/>
        <v>14.716999999999999</v>
      </c>
      <c r="R148" s="14">
        <f t="shared" si="43"/>
        <v>14.359750000000002</v>
      </c>
      <c r="U148" s="1">
        <f t="shared" si="44"/>
        <v>6.3000000000000007</v>
      </c>
      <c r="V148" s="5">
        <f t="shared" si="45"/>
        <v>6.88</v>
      </c>
    </row>
    <row r="149" spans="1:22" x14ac:dyDescent="0.2">
      <c r="A149" s="1">
        <v>1964</v>
      </c>
      <c r="B149" s="1">
        <v>1.32</v>
      </c>
      <c r="C149" s="1">
        <v>0.52</v>
      </c>
      <c r="D149" s="1">
        <v>0.04</v>
      </c>
      <c r="E149" s="1">
        <v>0.04</v>
      </c>
      <c r="F149" s="1">
        <v>1.07</v>
      </c>
      <c r="G149" s="1">
        <v>0.55000000000000004</v>
      </c>
      <c r="H149" s="1">
        <v>0.6</v>
      </c>
      <c r="I149" s="1">
        <v>0.71</v>
      </c>
      <c r="J149" s="1">
        <v>0.6</v>
      </c>
      <c r="K149" s="1">
        <v>2.25</v>
      </c>
      <c r="L149" s="1">
        <v>2.37</v>
      </c>
      <c r="M149" s="1">
        <v>2.04</v>
      </c>
      <c r="N149" s="5">
        <f t="shared" si="41"/>
        <v>12.11</v>
      </c>
      <c r="P149" s="14">
        <f t="shared" si="42"/>
        <v>14.302499999999998</v>
      </c>
      <c r="R149" s="14">
        <f t="shared" si="43"/>
        <v>14.184250000000002</v>
      </c>
      <c r="U149" s="1">
        <f t="shared" si="44"/>
        <v>6.66</v>
      </c>
      <c r="V149" s="5">
        <f t="shared" si="45"/>
        <v>2.2200000000000002</v>
      </c>
    </row>
    <row r="150" spans="1:22" x14ac:dyDescent="0.2">
      <c r="A150" s="28">
        <v>1965</v>
      </c>
      <c r="B150" s="1">
        <v>0.12</v>
      </c>
      <c r="C150" s="1">
        <v>0.68</v>
      </c>
      <c r="D150" s="1">
        <v>0.49</v>
      </c>
      <c r="E150" s="1">
        <v>1.18</v>
      </c>
      <c r="F150" s="1">
        <v>1.05</v>
      </c>
      <c r="G150" s="1">
        <v>0.61</v>
      </c>
      <c r="H150" s="1">
        <v>1.56</v>
      </c>
      <c r="I150" s="1">
        <v>1.77</v>
      </c>
      <c r="J150" s="1">
        <v>5.75</v>
      </c>
      <c r="K150" s="1">
        <v>1.76</v>
      </c>
      <c r="L150" s="1">
        <v>3.49</v>
      </c>
      <c r="M150" s="1">
        <v>2.64</v>
      </c>
      <c r="N150" s="5">
        <f t="shared" si="41"/>
        <v>21.1</v>
      </c>
      <c r="P150" s="14">
        <f t="shared" si="42"/>
        <v>15.487499999999997</v>
      </c>
      <c r="R150" s="14">
        <f t="shared" si="43"/>
        <v>14.405250000000004</v>
      </c>
      <c r="U150" s="1">
        <f t="shared" si="44"/>
        <v>7.8900000000000006</v>
      </c>
      <c r="V150" s="5">
        <f t="shared" si="45"/>
        <v>4.01</v>
      </c>
    </row>
    <row r="151" spans="1:22" x14ac:dyDescent="0.2">
      <c r="A151" s="1">
        <v>1966</v>
      </c>
      <c r="B151" s="1">
        <v>1.57</v>
      </c>
      <c r="C151" s="1">
        <v>0.47</v>
      </c>
      <c r="D151" s="1">
        <v>2.61</v>
      </c>
      <c r="E151" s="1">
        <v>0.4</v>
      </c>
      <c r="F151" s="1">
        <v>0.57999999999999996</v>
      </c>
      <c r="G151" s="1">
        <v>0</v>
      </c>
      <c r="H151" s="1">
        <v>5.0000000000000001E-3</v>
      </c>
      <c r="I151" s="1">
        <v>7.0000000000000007E-2</v>
      </c>
      <c r="J151" s="1">
        <v>2.88</v>
      </c>
      <c r="K151" s="1">
        <v>1.98</v>
      </c>
      <c r="L151" s="1">
        <v>3.61</v>
      </c>
      <c r="M151" s="1">
        <v>0.81</v>
      </c>
      <c r="N151" s="5">
        <f t="shared" si="41"/>
        <v>14.985000000000001</v>
      </c>
      <c r="P151" s="14">
        <f t="shared" si="42"/>
        <v>16.409500000000001</v>
      </c>
      <c r="R151" s="14">
        <f t="shared" si="43"/>
        <v>14.674250000000004</v>
      </c>
      <c r="U151" s="1">
        <f t="shared" si="44"/>
        <v>6.4</v>
      </c>
      <c r="V151" s="5">
        <f t="shared" si="45"/>
        <v>4.0599999999999996</v>
      </c>
    </row>
    <row r="152" spans="1:22" x14ac:dyDescent="0.2">
      <c r="A152" s="1">
        <v>1967</v>
      </c>
      <c r="B152" s="1">
        <v>0.25</v>
      </c>
      <c r="C152" s="1">
        <v>0.19</v>
      </c>
      <c r="D152" s="1">
        <v>0.64</v>
      </c>
      <c r="E152" s="1">
        <v>5.0000000000000001E-3</v>
      </c>
      <c r="F152" s="1">
        <v>0.42</v>
      </c>
      <c r="G152" s="1">
        <v>0.56999999999999995</v>
      </c>
      <c r="H152" s="1">
        <v>0</v>
      </c>
      <c r="I152" s="1">
        <v>0.97</v>
      </c>
      <c r="J152" s="1">
        <v>1.8</v>
      </c>
      <c r="K152" s="1">
        <v>3.77</v>
      </c>
      <c r="L152" s="1">
        <v>5.96</v>
      </c>
      <c r="M152" s="1">
        <v>1.9</v>
      </c>
      <c r="N152" s="5">
        <f t="shared" si="41"/>
        <v>16.474999999999998</v>
      </c>
      <c r="P152" s="14">
        <f t="shared" si="42"/>
        <v>16.653500000000001</v>
      </c>
      <c r="R152" s="14">
        <f t="shared" si="43"/>
        <v>14.865500000000006</v>
      </c>
      <c r="U152" s="1">
        <f t="shared" si="44"/>
        <v>11.63</v>
      </c>
      <c r="V152" s="5">
        <f t="shared" si="45"/>
        <v>1.8250000000000002</v>
      </c>
    </row>
    <row r="153" spans="1:22" x14ac:dyDescent="0.2">
      <c r="A153" s="1">
        <v>1968</v>
      </c>
      <c r="B153" s="1">
        <v>0.1</v>
      </c>
      <c r="C153" s="1">
        <v>0.18</v>
      </c>
      <c r="D153" s="1">
        <v>2.59</v>
      </c>
      <c r="E153" s="1">
        <v>0.15</v>
      </c>
      <c r="F153" s="1">
        <v>1.38</v>
      </c>
      <c r="G153" s="1">
        <v>1.28</v>
      </c>
      <c r="H153" s="1">
        <v>0.79</v>
      </c>
      <c r="I153" s="1">
        <v>1.92</v>
      </c>
      <c r="J153" s="1">
        <v>5.0000000000000001E-3</v>
      </c>
      <c r="K153" s="1">
        <v>3.54</v>
      </c>
      <c r="L153" s="1">
        <v>4.6100000000000003</v>
      </c>
      <c r="M153" s="1">
        <v>0.3</v>
      </c>
      <c r="N153" s="5">
        <f t="shared" si="41"/>
        <v>16.845000000000002</v>
      </c>
      <c r="P153" s="14">
        <f t="shared" si="42"/>
        <v>16.167999999999999</v>
      </c>
      <c r="R153" s="14">
        <f t="shared" si="43"/>
        <v>14.885250000000003</v>
      </c>
      <c r="U153" s="1">
        <f t="shared" si="44"/>
        <v>8.4500000000000011</v>
      </c>
      <c r="V153" s="5">
        <f t="shared" si="45"/>
        <v>5.58</v>
      </c>
    </row>
    <row r="154" spans="1:22" x14ac:dyDescent="0.2">
      <c r="A154" s="1">
        <v>1969</v>
      </c>
      <c r="B154" s="1">
        <v>0.38</v>
      </c>
      <c r="C154" s="1">
        <v>0.76</v>
      </c>
      <c r="D154" s="1">
        <v>1.01</v>
      </c>
      <c r="E154" s="1">
        <v>0.49</v>
      </c>
      <c r="F154" s="1">
        <v>1.75</v>
      </c>
      <c r="G154" s="1">
        <v>0.15</v>
      </c>
      <c r="H154" s="1">
        <v>1.18</v>
      </c>
      <c r="I154" s="1">
        <v>2.46</v>
      </c>
      <c r="J154" s="1">
        <v>4.9000000000000004</v>
      </c>
      <c r="K154" s="1">
        <v>2.39</v>
      </c>
      <c r="L154" s="1">
        <v>4.12</v>
      </c>
      <c r="M154" s="1">
        <v>2.23</v>
      </c>
      <c r="N154" s="5">
        <f t="shared" si="41"/>
        <v>21.82</v>
      </c>
      <c r="P154" s="14">
        <f t="shared" si="42"/>
        <v>16.565000000000001</v>
      </c>
      <c r="R154" s="14">
        <f t="shared" si="43"/>
        <v>14.978000000000003</v>
      </c>
      <c r="U154" s="1">
        <f t="shared" si="44"/>
        <v>8.74</v>
      </c>
      <c r="V154" s="5">
        <f t="shared" si="45"/>
        <v>4.16</v>
      </c>
    </row>
    <row r="155" spans="1:22" x14ac:dyDescent="0.2">
      <c r="A155" s="1">
        <v>1970</v>
      </c>
      <c r="B155" s="1">
        <v>2.93</v>
      </c>
      <c r="C155" s="1">
        <v>0.22</v>
      </c>
      <c r="D155" s="1">
        <v>1.32</v>
      </c>
      <c r="E155" s="1">
        <v>5.0000000000000001E-3</v>
      </c>
      <c r="F155" s="1">
        <v>0.4</v>
      </c>
      <c r="G155" s="1">
        <v>2.0699999999999998</v>
      </c>
      <c r="H155" s="1">
        <v>0.54</v>
      </c>
      <c r="I155" s="22" t="s">
        <v>13</v>
      </c>
      <c r="J155" s="1">
        <v>0.63</v>
      </c>
      <c r="K155" s="1">
        <v>3.12</v>
      </c>
      <c r="L155" s="1">
        <v>2.48</v>
      </c>
      <c r="M155" s="1">
        <v>0.76</v>
      </c>
      <c r="N155" s="5">
        <f t="shared" si="41"/>
        <v>14.475</v>
      </c>
      <c r="O155" s="13">
        <v>-1</v>
      </c>
      <c r="P155" s="14">
        <f t="shared" si="42"/>
        <v>16.317</v>
      </c>
      <c r="R155" s="14">
        <f t="shared" si="43"/>
        <v>15.222000000000003</v>
      </c>
      <c r="U155" s="1">
        <f t="shared" si="44"/>
        <v>6.3599999999999994</v>
      </c>
      <c r="V155" s="5">
        <f t="shared" si="45"/>
        <v>4.0149999999999997</v>
      </c>
    </row>
    <row r="156" spans="1:22" x14ac:dyDescent="0.2">
      <c r="A156" s="28">
        <v>1971</v>
      </c>
      <c r="B156" s="1">
        <v>0.74</v>
      </c>
      <c r="C156" s="1">
        <v>0.05</v>
      </c>
      <c r="D156" s="1">
        <v>0.05</v>
      </c>
      <c r="E156" s="1">
        <v>1.1599999999999999</v>
      </c>
      <c r="F156" s="1">
        <v>0.17</v>
      </c>
      <c r="G156" s="1">
        <v>0.41</v>
      </c>
      <c r="H156" s="1">
        <v>1.1100000000000001</v>
      </c>
      <c r="I156" s="1">
        <v>0.72</v>
      </c>
      <c r="J156" s="1">
        <v>0.39</v>
      </c>
      <c r="K156" s="1">
        <v>2.71</v>
      </c>
      <c r="L156" s="1">
        <v>2.98</v>
      </c>
      <c r="M156" s="1">
        <v>2.14</v>
      </c>
      <c r="N156" s="5">
        <f t="shared" si="41"/>
        <v>12.63</v>
      </c>
      <c r="P156" s="14">
        <f t="shared" si="42"/>
        <v>15.878</v>
      </c>
      <c r="R156" s="14">
        <f t="shared" si="43"/>
        <v>15.248000000000001</v>
      </c>
      <c r="U156" s="1">
        <f t="shared" si="44"/>
        <v>7.83</v>
      </c>
      <c r="V156" s="5">
        <f t="shared" si="45"/>
        <v>1.8399999999999999</v>
      </c>
    </row>
    <row r="157" spans="1:22" x14ac:dyDescent="0.2">
      <c r="A157" s="28">
        <v>1972</v>
      </c>
      <c r="B157" s="1">
        <v>2.6</v>
      </c>
      <c r="C157" s="1">
        <v>1.23</v>
      </c>
      <c r="D157" s="1">
        <v>2.36</v>
      </c>
      <c r="E157" s="1">
        <v>0.65</v>
      </c>
      <c r="F157" s="1">
        <v>0.02</v>
      </c>
      <c r="G157" s="1">
        <v>5.0000000000000001E-3</v>
      </c>
      <c r="H157" s="1">
        <v>0</v>
      </c>
      <c r="I157" s="1">
        <v>1.28</v>
      </c>
      <c r="J157" s="1">
        <v>0.43</v>
      </c>
      <c r="K157" s="1">
        <v>2.37</v>
      </c>
      <c r="L157" s="1">
        <v>3.02</v>
      </c>
      <c r="M157" s="1">
        <v>4.5199999999999996</v>
      </c>
      <c r="N157" s="5">
        <f t="shared" si="41"/>
        <v>18.484999999999999</v>
      </c>
      <c r="P157" s="14">
        <f t="shared" si="42"/>
        <v>16.554499999999997</v>
      </c>
      <c r="R157" s="14">
        <f t="shared" si="43"/>
        <v>15.365750000000002</v>
      </c>
      <c r="U157" s="1">
        <f t="shared" si="44"/>
        <v>9.91</v>
      </c>
      <c r="V157" s="5">
        <f t="shared" si="45"/>
        <v>4.2649999999999997</v>
      </c>
    </row>
    <row r="158" spans="1:22" x14ac:dyDescent="0.2">
      <c r="A158" s="1">
        <v>1973</v>
      </c>
      <c r="B158" s="1">
        <v>4.03</v>
      </c>
      <c r="C158" s="1">
        <v>1.28</v>
      </c>
      <c r="D158" s="1">
        <v>0.44</v>
      </c>
      <c r="E158" s="1">
        <v>0.63</v>
      </c>
      <c r="F158" s="1">
        <v>0.93</v>
      </c>
      <c r="G158" s="1">
        <v>1.73</v>
      </c>
      <c r="H158" s="1">
        <v>0.43</v>
      </c>
      <c r="I158" s="1">
        <v>1.22</v>
      </c>
      <c r="J158" s="1">
        <v>0.98</v>
      </c>
      <c r="K158" s="1">
        <v>3.7</v>
      </c>
      <c r="L158" s="1">
        <v>2.65</v>
      </c>
      <c r="M158" s="1">
        <v>2.56</v>
      </c>
      <c r="N158" s="5">
        <f t="shared" si="41"/>
        <v>20.58</v>
      </c>
      <c r="P158" s="14">
        <f t="shared" si="42"/>
        <v>16.950499999999998</v>
      </c>
      <c r="R158" s="14">
        <f t="shared" si="43"/>
        <v>15.833749999999998</v>
      </c>
      <c r="U158" s="1">
        <f t="shared" si="44"/>
        <v>8.91</v>
      </c>
      <c r="V158" s="5">
        <f t="shared" si="45"/>
        <v>5.01</v>
      </c>
    </row>
    <row r="159" spans="1:22" x14ac:dyDescent="0.2">
      <c r="A159" s="28">
        <v>1974</v>
      </c>
      <c r="B159" s="1">
        <v>0.98</v>
      </c>
      <c r="C159" s="1">
        <v>0.21</v>
      </c>
      <c r="D159" s="1">
        <v>0</v>
      </c>
      <c r="E159" s="1">
        <v>2.82</v>
      </c>
      <c r="F159" s="1">
        <v>0.51</v>
      </c>
      <c r="G159" s="1">
        <v>1.1299999999999999</v>
      </c>
      <c r="H159" s="1">
        <v>0.22</v>
      </c>
      <c r="I159" s="1">
        <v>0.3</v>
      </c>
      <c r="J159" s="1">
        <v>0.48</v>
      </c>
      <c r="K159" s="1">
        <v>2.2000000000000002</v>
      </c>
      <c r="L159" s="1">
        <v>2.31</v>
      </c>
      <c r="M159" s="1">
        <v>1.04</v>
      </c>
      <c r="N159" s="5">
        <f t="shared" si="41"/>
        <v>12.2</v>
      </c>
      <c r="O159" s="26">
        <f>N159/15.69</f>
        <v>0.77756532823454427</v>
      </c>
      <c r="P159" s="14">
        <f t="shared" si="42"/>
        <v>16.959499999999998</v>
      </c>
      <c r="R159" s="14">
        <f t="shared" si="43"/>
        <v>15.630999999999997</v>
      </c>
      <c r="U159" s="1">
        <f t="shared" si="44"/>
        <v>5.55</v>
      </c>
      <c r="V159" s="5">
        <f t="shared" si="45"/>
        <v>4.67</v>
      </c>
    </row>
    <row r="160" spans="1:22" x14ac:dyDescent="0.2">
      <c r="A160" s="28">
        <v>1975</v>
      </c>
      <c r="B160" s="1">
        <v>3.13</v>
      </c>
      <c r="C160" s="1">
        <v>0.39</v>
      </c>
      <c r="D160" s="1">
        <v>0.8</v>
      </c>
      <c r="E160" s="1">
        <v>0.84</v>
      </c>
      <c r="F160" s="1">
        <v>2.2999999999999998</v>
      </c>
      <c r="G160" s="1">
        <v>1.31</v>
      </c>
      <c r="H160" s="1">
        <v>0.85</v>
      </c>
      <c r="I160" s="1">
        <v>0.24</v>
      </c>
      <c r="J160" s="1">
        <v>0.65</v>
      </c>
      <c r="K160" s="1">
        <v>3.53</v>
      </c>
      <c r="L160" s="1">
        <v>1.18</v>
      </c>
      <c r="M160" s="1">
        <v>3.48</v>
      </c>
      <c r="N160" s="5">
        <f t="shared" si="41"/>
        <v>18.7</v>
      </c>
      <c r="O160" s="26">
        <f>N160/15.69</f>
        <v>1.1918419375398344</v>
      </c>
      <c r="P160" s="14">
        <f t="shared" si="42"/>
        <v>16.719499999999996</v>
      </c>
      <c r="R160" s="14">
        <f t="shared" si="43"/>
        <v>16.103499999999997</v>
      </c>
      <c r="U160" s="1">
        <f t="shared" si="44"/>
        <v>8.19</v>
      </c>
      <c r="V160" s="5">
        <f t="shared" si="45"/>
        <v>5.6400000000000006</v>
      </c>
    </row>
    <row r="161" spans="1:22" x14ac:dyDescent="0.2">
      <c r="A161" s="28">
        <v>1976</v>
      </c>
      <c r="B161" s="1">
        <v>0</v>
      </c>
      <c r="C161" s="1">
        <v>0.63</v>
      </c>
      <c r="D161" s="1">
        <v>0.32</v>
      </c>
      <c r="E161" s="2">
        <v>0.08</v>
      </c>
      <c r="F161" s="2">
        <v>1.21</v>
      </c>
      <c r="G161" s="2">
        <v>0.57999999999999996</v>
      </c>
      <c r="H161" s="2">
        <v>0.56999999999999995</v>
      </c>
      <c r="I161" s="1">
        <v>1.18</v>
      </c>
      <c r="J161" s="1">
        <v>0.13</v>
      </c>
      <c r="K161" s="1">
        <v>2.71</v>
      </c>
      <c r="L161" s="1">
        <v>3.67</v>
      </c>
      <c r="M161" s="1">
        <v>2.57</v>
      </c>
      <c r="N161" s="5">
        <f t="shared" si="41"/>
        <v>13.65</v>
      </c>
      <c r="P161" s="14">
        <f t="shared" si="42"/>
        <v>16.585999999999999</v>
      </c>
      <c r="R161" s="14">
        <f t="shared" si="43"/>
        <v>16.497749999999996</v>
      </c>
      <c r="U161" s="1">
        <f t="shared" si="44"/>
        <v>8.9499999999999993</v>
      </c>
      <c r="V161" s="5">
        <f t="shared" si="45"/>
        <v>2.8200000000000003</v>
      </c>
    </row>
    <row r="162" spans="1:22" x14ac:dyDescent="0.2">
      <c r="A162" s="1">
        <v>1977</v>
      </c>
      <c r="B162" s="1">
        <v>0.01</v>
      </c>
      <c r="C162" s="22" t="s">
        <v>13</v>
      </c>
      <c r="D162" s="1">
        <v>0.09</v>
      </c>
      <c r="E162" s="22" t="s">
        <v>13</v>
      </c>
      <c r="F162" s="22" t="s">
        <v>13</v>
      </c>
      <c r="G162" s="22" t="s">
        <v>13</v>
      </c>
      <c r="H162" s="1">
        <v>1.3</v>
      </c>
      <c r="I162" s="1">
        <v>0.57999999999999996</v>
      </c>
      <c r="J162" s="1">
        <v>0.59</v>
      </c>
      <c r="K162" s="1">
        <v>3.84</v>
      </c>
      <c r="L162" s="1">
        <v>4.47</v>
      </c>
      <c r="M162" s="22" t="s">
        <v>13</v>
      </c>
      <c r="N162" s="5">
        <f t="shared" si="41"/>
        <v>10.879999999999999</v>
      </c>
      <c r="O162" s="13">
        <v>-5</v>
      </c>
      <c r="P162" s="14">
        <f t="shared" si="42"/>
        <v>16.026500000000002</v>
      </c>
      <c r="R162" s="14">
        <f t="shared" si="43"/>
        <v>16.339999999999996</v>
      </c>
      <c r="U162" s="1">
        <f t="shared" si="44"/>
        <v>8.3099999999999987</v>
      </c>
      <c r="V162" s="5">
        <f t="shared" si="45"/>
        <v>0.09</v>
      </c>
    </row>
    <row r="163" spans="1:22" x14ac:dyDescent="0.2">
      <c r="A163" s="1">
        <v>1978</v>
      </c>
      <c r="B163" s="1">
        <v>0.97</v>
      </c>
      <c r="C163" s="1">
        <v>1.55</v>
      </c>
      <c r="D163" s="1">
        <v>0.01</v>
      </c>
      <c r="E163" s="22" t="s">
        <v>13</v>
      </c>
      <c r="F163" s="1">
        <v>0.08</v>
      </c>
      <c r="G163" s="1">
        <v>2.12</v>
      </c>
      <c r="H163" s="1">
        <v>0.21</v>
      </c>
      <c r="I163" s="1">
        <v>2.69</v>
      </c>
      <c r="J163" s="1">
        <v>1.08</v>
      </c>
      <c r="K163" s="1">
        <v>1.52</v>
      </c>
      <c r="L163" s="1">
        <v>0.75</v>
      </c>
      <c r="M163" s="1">
        <v>1.52</v>
      </c>
      <c r="N163" s="5">
        <f t="shared" si="41"/>
        <v>12.5</v>
      </c>
      <c r="O163" s="13">
        <v>-1</v>
      </c>
      <c r="P163" s="14">
        <f t="shared" si="42"/>
        <v>15.591999999999999</v>
      </c>
      <c r="R163" s="14">
        <f t="shared" si="43"/>
        <v>15.879999999999995</v>
      </c>
      <c r="U163" s="1">
        <f t="shared" si="44"/>
        <v>3.79</v>
      </c>
      <c r="V163" s="5">
        <f t="shared" si="45"/>
        <v>3.7600000000000002</v>
      </c>
    </row>
    <row r="164" spans="1:22" x14ac:dyDescent="0.2">
      <c r="A164" s="1">
        <v>1979</v>
      </c>
      <c r="B164" s="1">
        <v>1.3</v>
      </c>
      <c r="C164" s="1">
        <v>6.43</v>
      </c>
      <c r="D164" s="1">
        <v>1.6</v>
      </c>
      <c r="E164" s="1">
        <v>2.86</v>
      </c>
      <c r="F164" s="1">
        <v>0.66</v>
      </c>
      <c r="G164" s="1">
        <v>0.88</v>
      </c>
      <c r="H164" s="1">
        <v>0.73</v>
      </c>
      <c r="I164" s="1">
        <v>3.54</v>
      </c>
      <c r="J164" s="1">
        <v>3.07</v>
      </c>
      <c r="K164" s="1">
        <v>0.42</v>
      </c>
      <c r="L164" s="1">
        <v>2.67</v>
      </c>
      <c r="M164" s="1">
        <v>0.18</v>
      </c>
      <c r="N164" s="5">
        <f>SUM(B164:M164)</f>
        <v>24.340000000000003</v>
      </c>
      <c r="O164" s="26">
        <f t="shared" ref="O164:O176" si="46">N164/15.69</f>
        <v>1.5513065646908861</v>
      </c>
      <c r="P164" s="14">
        <f t="shared" si="42"/>
        <v>15.844000000000003</v>
      </c>
      <c r="R164" s="14">
        <f t="shared" si="43"/>
        <v>16.204499999999996</v>
      </c>
      <c r="U164" s="1">
        <f t="shared" si="44"/>
        <v>3.27</v>
      </c>
      <c r="V164" s="5">
        <f t="shared" si="45"/>
        <v>12.43</v>
      </c>
    </row>
    <row r="165" spans="1:22" x14ac:dyDescent="0.2">
      <c r="A165" s="1">
        <v>1980</v>
      </c>
      <c r="B165" s="1">
        <v>0.18</v>
      </c>
      <c r="C165" s="1">
        <v>1.03</v>
      </c>
      <c r="D165" s="1">
        <v>0.8</v>
      </c>
      <c r="E165" s="1">
        <v>1.06</v>
      </c>
      <c r="F165" s="1">
        <v>1.04</v>
      </c>
      <c r="G165" s="1">
        <v>0.96</v>
      </c>
      <c r="H165" s="1">
        <v>1.36</v>
      </c>
      <c r="I165" s="1">
        <v>1.1100000000000001</v>
      </c>
      <c r="J165" s="1">
        <v>0.01</v>
      </c>
      <c r="K165" s="1">
        <v>0.69</v>
      </c>
      <c r="L165" s="1">
        <v>2.1</v>
      </c>
      <c r="M165" s="1">
        <v>1.43</v>
      </c>
      <c r="N165" s="5">
        <f t="shared" si="41"/>
        <v>11.77</v>
      </c>
      <c r="O165" s="26">
        <f t="shared" si="46"/>
        <v>0.75015933715742511</v>
      </c>
      <c r="P165" s="14">
        <f t="shared" si="42"/>
        <v>15.573500000000001</v>
      </c>
      <c r="R165" s="14">
        <f t="shared" si="43"/>
        <v>15.945249999999993</v>
      </c>
      <c r="U165" s="1">
        <f t="shared" si="44"/>
        <v>4.22</v>
      </c>
      <c r="V165" s="5">
        <f t="shared" si="45"/>
        <v>4.8900000000000006</v>
      </c>
    </row>
    <row r="166" spans="1:22" x14ac:dyDescent="0.2">
      <c r="A166" s="1">
        <v>1981</v>
      </c>
      <c r="B166" s="1">
        <v>1.0900000000000001</v>
      </c>
      <c r="C166" s="1">
        <v>2.14</v>
      </c>
      <c r="D166" s="1">
        <v>0.77</v>
      </c>
      <c r="E166" s="1">
        <v>0.2</v>
      </c>
      <c r="F166" s="1">
        <v>7.0000000000000007E-2</v>
      </c>
      <c r="G166" s="1">
        <v>1.9</v>
      </c>
      <c r="H166" s="1">
        <v>1.37</v>
      </c>
      <c r="I166" s="1">
        <v>2.37</v>
      </c>
      <c r="J166" s="1">
        <v>1.27</v>
      </c>
      <c r="K166" s="1">
        <v>1.76</v>
      </c>
      <c r="L166" s="1">
        <v>1.69</v>
      </c>
      <c r="M166" s="1">
        <v>2.42</v>
      </c>
      <c r="N166" s="5">
        <f t="shared" si="41"/>
        <v>17.049999999999997</v>
      </c>
      <c r="O166" s="26">
        <f t="shared" si="46"/>
        <v>1.0866794136392606</v>
      </c>
      <c r="P166" s="14">
        <f t="shared" si="42"/>
        <v>16.015500000000003</v>
      </c>
      <c r="Q166" s="5">
        <f t="shared" ref="Q166:Q196" si="47">SUM(N165:N166)/2</f>
        <v>14.409999999999998</v>
      </c>
      <c r="R166" s="14">
        <f t="shared" si="43"/>
        <v>15.94675</v>
      </c>
      <c r="U166" s="1">
        <f t="shared" si="44"/>
        <v>5.87</v>
      </c>
      <c r="V166" s="5">
        <f t="shared" si="45"/>
        <v>5.08</v>
      </c>
    </row>
    <row r="167" spans="1:22" x14ac:dyDescent="0.2">
      <c r="A167" s="1">
        <v>1982</v>
      </c>
      <c r="B167" s="1">
        <v>1.28</v>
      </c>
      <c r="C167" s="1">
        <v>0.72</v>
      </c>
      <c r="D167" s="1">
        <v>0.01</v>
      </c>
      <c r="E167" s="1">
        <v>1.17</v>
      </c>
      <c r="F167" s="1">
        <v>1.68</v>
      </c>
      <c r="G167" s="1">
        <v>1.08</v>
      </c>
      <c r="H167" s="1">
        <v>0.23</v>
      </c>
      <c r="I167" s="1">
        <v>1.54</v>
      </c>
      <c r="J167" s="1">
        <v>0.38</v>
      </c>
      <c r="K167" s="1">
        <v>3.12</v>
      </c>
      <c r="L167" s="1">
        <v>3.79</v>
      </c>
      <c r="M167" s="1">
        <v>3.24</v>
      </c>
      <c r="N167" s="5">
        <f t="shared" si="41"/>
        <v>18.240000000000002</v>
      </c>
      <c r="O167" s="26">
        <f t="shared" si="46"/>
        <v>1.1625239005736139</v>
      </c>
      <c r="P167" s="14">
        <f t="shared" si="42"/>
        <v>15.991000000000003</v>
      </c>
      <c r="Q167" s="5">
        <f t="shared" si="47"/>
        <v>17.645</v>
      </c>
      <c r="R167" s="14">
        <f t="shared" si="43"/>
        <v>16.272749999999995</v>
      </c>
      <c r="U167" s="1">
        <f t="shared" si="44"/>
        <v>10.15</v>
      </c>
      <c r="V167" s="5">
        <f t="shared" si="45"/>
        <v>4.66</v>
      </c>
    </row>
    <row r="168" spans="1:22" x14ac:dyDescent="0.2">
      <c r="A168" s="1">
        <v>1983</v>
      </c>
      <c r="B168" s="1">
        <v>0.6</v>
      </c>
      <c r="C168" s="1">
        <v>2.08</v>
      </c>
      <c r="D168" s="1">
        <v>1.77</v>
      </c>
      <c r="E168" s="1">
        <v>1.01</v>
      </c>
      <c r="F168" s="1">
        <v>1.29</v>
      </c>
      <c r="G168" s="1">
        <v>1.47</v>
      </c>
      <c r="H168" s="1">
        <v>1.0900000000000001</v>
      </c>
      <c r="I168" s="1">
        <v>0.5</v>
      </c>
      <c r="J168" s="1">
        <v>0.84</v>
      </c>
      <c r="K168" s="1">
        <v>2.39</v>
      </c>
      <c r="L168" s="1">
        <v>3.44</v>
      </c>
      <c r="M168" s="1">
        <v>0.95</v>
      </c>
      <c r="N168" s="5">
        <f t="shared" si="41"/>
        <v>17.43</v>
      </c>
      <c r="O168" s="26">
        <f t="shared" si="46"/>
        <v>1.1108986615678778</v>
      </c>
      <c r="P168" s="14">
        <f t="shared" si="42"/>
        <v>15.675999999999998</v>
      </c>
      <c r="Q168" s="5">
        <f t="shared" si="47"/>
        <v>17.835000000000001</v>
      </c>
      <c r="R168" s="14">
        <f t="shared" si="43"/>
        <v>16.31325</v>
      </c>
      <c r="U168" s="1">
        <f t="shared" si="44"/>
        <v>6.78</v>
      </c>
      <c r="V168" s="5">
        <f t="shared" si="45"/>
        <v>7.62</v>
      </c>
    </row>
    <row r="169" spans="1:22" x14ac:dyDescent="0.2">
      <c r="A169" s="1">
        <v>1984</v>
      </c>
      <c r="B169" s="1">
        <v>1.1100000000000001</v>
      </c>
      <c r="C169" s="1">
        <v>0.51</v>
      </c>
      <c r="D169" s="1">
        <v>1.0900000000000001</v>
      </c>
      <c r="E169" s="1">
        <v>0.88</v>
      </c>
      <c r="F169" s="1">
        <v>0.03</v>
      </c>
      <c r="G169" s="1">
        <v>1.63</v>
      </c>
      <c r="H169" s="1">
        <v>0.38</v>
      </c>
      <c r="I169" s="1">
        <v>0.32</v>
      </c>
      <c r="J169" s="1">
        <v>1.41</v>
      </c>
      <c r="K169" s="1">
        <v>1.51</v>
      </c>
      <c r="L169" s="1">
        <v>3.68</v>
      </c>
      <c r="M169" s="1">
        <v>0.85</v>
      </c>
      <c r="N169" s="5">
        <f t="shared" si="41"/>
        <v>13.4</v>
      </c>
      <c r="O169" s="26">
        <f t="shared" si="46"/>
        <v>0.85404716379859791</v>
      </c>
      <c r="P169" s="14">
        <f t="shared" si="42"/>
        <v>15.796000000000001</v>
      </c>
      <c r="Q169" s="5">
        <f t="shared" si="47"/>
        <v>15.414999999999999</v>
      </c>
      <c r="R169" s="14">
        <f t="shared" si="43"/>
        <v>16.377749999999999</v>
      </c>
      <c r="U169" s="1">
        <f t="shared" si="44"/>
        <v>6.04</v>
      </c>
      <c r="V169" s="5">
        <f t="shared" si="45"/>
        <v>4.1399999999999997</v>
      </c>
    </row>
    <row r="170" spans="1:22" x14ac:dyDescent="0.2">
      <c r="A170" s="1">
        <v>1985</v>
      </c>
      <c r="B170" s="1">
        <v>3.19</v>
      </c>
      <c r="C170" s="1">
        <v>0.33</v>
      </c>
      <c r="D170" s="1">
        <v>2.1</v>
      </c>
      <c r="E170" s="1">
        <v>0.86</v>
      </c>
      <c r="F170" s="1">
        <v>1.27</v>
      </c>
      <c r="G170" s="1">
        <v>4.3899999999999997</v>
      </c>
      <c r="H170" s="1">
        <v>3.16</v>
      </c>
      <c r="I170" s="1">
        <v>1.71</v>
      </c>
      <c r="J170" s="1">
        <v>1.28</v>
      </c>
      <c r="K170" s="1">
        <v>1.94</v>
      </c>
      <c r="L170" s="1">
        <v>2.57</v>
      </c>
      <c r="M170" s="1">
        <v>2.89</v>
      </c>
      <c r="N170" s="5">
        <f t="shared" si="41"/>
        <v>25.690000000000005</v>
      </c>
      <c r="O170" s="26">
        <f t="shared" si="46"/>
        <v>1.6373486297004465</v>
      </c>
      <c r="P170" s="14">
        <f t="shared" si="42"/>
        <v>16.495000000000001</v>
      </c>
      <c r="Q170" s="5">
        <f t="shared" si="47"/>
        <v>19.545000000000002</v>
      </c>
      <c r="R170" s="14">
        <f>(SUM(N151:N170)/20)</f>
        <v>16.607250000000001</v>
      </c>
      <c r="U170" s="1">
        <f t="shared" si="44"/>
        <v>7.4</v>
      </c>
      <c r="V170" s="5">
        <f t="shared" si="45"/>
        <v>8.9499999999999993</v>
      </c>
    </row>
    <row r="171" spans="1:22" x14ac:dyDescent="0.2">
      <c r="A171" s="1">
        <v>1986</v>
      </c>
      <c r="B171" s="1">
        <v>3.63</v>
      </c>
      <c r="C171" s="1">
        <v>0.43</v>
      </c>
      <c r="D171" s="1">
        <v>0.37</v>
      </c>
      <c r="E171" s="1">
        <v>0</v>
      </c>
      <c r="F171" s="1">
        <v>1.89</v>
      </c>
      <c r="G171" s="1">
        <v>0.65</v>
      </c>
      <c r="H171" s="1">
        <v>1.51</v>
      </c>
      <c r="I171" s="1">
        <v>1.44</v>
      </c>
      <c r="J171" s="1">
        <v>3.83</v>
      </c>
      <c r="K171" s="1">
        <v>3.22</v>
      </c>
      <c r="L171" s="1">
        <v>2.19</v>
      </c>
      <c r="M171" s="1">
        <v>3.1</v>
      </c>
      <c r="N171" s="5">
        <f t="shared" si="41"/>
        <v>22.26</v>
      </c>
      <c r="O171" s="26">
        <f t="shared" si="46"/>
        <v>1.4187380497131932</v>
      </c>
      <c r="P171" s="14">
        <f t="shared" si="42"/>
        <v>17.356000000000002</v>
      </c>
      <c r="Q171" s="5">
        <f t="shared" si="47"/>
        <v>23.975000000000001</v>
      </c>
      <c r="R171" s="14">
        <f t="shared" si="43"/>
        <v>16.970999999999997</v>
      </c>
      <c r="U171" s="1">
        <f t="shared" si="44"/>
        <v>8.51</v>
      </c>
      <c r="V171" s="5">
        <f t="shared" si="45"/>
        <v>3.34</v>
      </c>
    </row>
    <row r="172" spans="1:22" x14ac:dyDescent="0.2">
      <c r="A172" s="1">
        <v>1987</v>
      </c>
      <c r="B172" s="1">
        <v>2.71</v>
      </c>
      <c r="C172" s="1">
        <v>3.21</v>
      </c>
      <c r="D172" s="1">
        <v>1.1100000000000001</v>
      </c>
      <c r="E172" s="1">
        <v>1.58</v>
      </c>
      <c r="F172" s="1">
        <v>1.72</v>
      </c>
      <c r="G172" s="1">
        <v>0.41</v>
      </c>
      <c r="H172" s="1">
        <v>0.54</v>
      </c>
      <c r="I172" s="1">
        <v>1.9</v>
      </c>
      <c r="J172" s="1">
        <v>1.02</v>
      </c>
      <c r="K172" s="1">
        <v>1.21</v>
      </c>
      <c r="L172" s="1">
        <v>3.56</v>
      </c>
      <c r="M172" s="1">
        <v>0.98</v>
      </c>
      <c r="N172" s="5">
        <f t="shared" si="41"/>
        <v>19.95</v>
      </c>
      <c r="O172" s="26">
        <f t="shared" si="46"/>
        <v>1.2715105162523901</v>
      </c>
      <c r="P172" s="14">
        <f>(SUM(N163:N172)/10)</f>
        <v>18.262999999999998</v>
      </c>
      <c r="Q172" s="5">
        <f t="shared" si="47"/>
        <v>21.105</v>
      </c>
      <c r="R172" s="14">
        <f t="shared" si="43"/>
        <v>17.144749999999998</v>
      </c>
      <c r="U172" s="1">
        <f t="shared" si="44"/>
        <v>5.75</v>
      </c>
      <c r="V172" s="5">
        <f t="shared" si="45"/>
        <v>8.0299999999999994</v>
      </c>
    </row>
    <row r="173" spans="1:22" x14ac:dyDescent="0.2">
      <c r="A173" s="1">
        <v>1988</v>
      </c>
      <c r="B173" s="1">
        <v>0.48</v>
      </c>
      <c r="C173" s="1">
        <v>1.53</v>
      </c>
      <c r="D173" s="1">
        <v>1.78</v>
      </c>
      <c r="E173" s="1">
        <v>1.22</v>
      </c>
      <c r="F173" s="1">
        <v>0.3</v>
      </c>
      <c r="G173" s="1">
        <v>0.95</v>
      </c>
      <c r="H173" s="1">
        <v>1.76</v>
      </c>
      <c r="I173" s="1">
        <v>1.47</v>
      </c>
      <c r="J173" s="1">
        <v>1.84</v>
      </c>
      <c r="K173" s="1">
        <v>3.2</v>
      </c>
      <c r="L173" s="1">
        <v>4.2</v>
      </c>
      <c r="M173" s="1">
        <v>4.7</v>
      </c>
      <c r="N173" s="5">
        <f t="shared" si="41"/>
        <v>23.43</v>
      </c>
      <c r="O173" s="26">
        <f t="shared" si="46"/>
        <v>1.4933078393881454</v>
      </c>
      <c r="P173" s="14">
        <f>(SUM(N164:N173)/10)</f>
        <v>19.356000000000002</v>
      </c>
      <c r="Q173" s="5">
        <f t="shared" si="47"/>
        <v>21.689999999999998</v>
      </c>
      <c r="R173" s="14">
        <f t="shared" si="43"/>
        <v>17.473999999999997</v>
      </c>
      <c r="U173" s="1">
        <f t="shared" si="44"/>
        <v>12.100000000000001</v>
      </c>
      <c r="V173" s="5">
        <f t="shared" si="45"/>
        <v>5.78</v>
      </c>
    </row>
    <row r="174" spans="1:22" x14ac:dyDescent="0.2">
      <c r="A174" s="28">
        <v>1989</v>
      </c>
      <c r="B174" s="1">
        <v>1.53</v>
      </c>
      <c r="C174" s="1">
        <v>0.42</v>
      </c>
      <c r="D174" s="1">
        <v>0.32</v>
      </c>
      <c r="E174" s="1">
        <v>1.66</v>
      </c>
      <c r="F174" s="1">
        <v>1.28</v>
      </c>
      <c r="G174" s="1">
        <v>0.96</v>
      </c>
      <c r="H174" s="1">
        <v>0.14000000000000001</v>
      </c>
      <c r="I174" s="1">
        <v>0.72</v>
      </c>
      <c r="J174" s="1">
        <v>0.12</v>
      </c>
      <c r="K174" s="1">
        <v>2.97</v>
      </c>
      <c r="L174" s="1">
        <v>2.81</v>
      </c>
      <c r="M174" s="1">
        <v>2.35</v>
      </c>
      <c r="N174" s="5">
        <f t="shared" si="41"/>
        <v>15.28</v>
      </c>
      <c r="O174" s="26">
        <f t="shared" si="46"/>
        <v>0.97386870618228172</v>
      </c>
      <c r="P174" s="14">
        <f t="shared" si="42"/>
        <v>18.450000000000003</v>
      </c>
      <c r="Q174" s="5">
        <f t="shared" si="47"/>
        <v>19.355</v>
      </c>
      <c r="R174" s="14">
        <f t="shared" si="43"/>
        <v>17.147000000000002</v>
      </c>
      <c r="U174" s="1">
        <f t="shared" si="44"/>
        <v>8.1300000000000008</v>
      </c>
      <c r="V174" s="5">
        <f t="shared" si="45"/>
        <v>4.6399999999999997</v>
      </c>
    </row>
    <row r="175" spans="1:22" x14ac:dyDescent="0.2">
      <c r="A175" s="1">
        <v>1990</v>
      </c>
      <c r="B175" s="1">
        <v>1.92</v>
      </c>
      <c r="C175" s="1">
        <v>0</v>
      </c>
      <c r="D175" s="1">
        <v>0.6</v>
      </c>
      <c r="E175" s="1">
        <v>1.0900000000000001</v>
      </c>
      <c r="F175" s="1">
        <v>0.56999999999999995</v>
      </c>
      <c r="G175" s="1">
        <v>0.73</v>
      </c>
      <c r="H175" s="1">
        <v>1.49</v>
      </c>
      <c r="I175" s="1">
        <v>1.23</v>
      </c>
      <c r="J175" s="1">
        <v>0.71</v>
      </c>
      <c r="K175" s="1">
        <v>3.93</v>
      </c>
      <c r="L175" s="1">
        <v>1.1599999999999999</v>
      </c>
      <c r="M175" s="1">
        <v>1.93</v>
      </c>
      <c r="N175" s="5">
        <f t="shared" si="41"/>
        <v>15.36</v>
      </c>
      <c r="O175" s="26">
        <f t="shared" si="46"/>
        <v>0.97896749521988524</v>
      </c>
      <c r="P175" s="14">
        <f t="shared" si="42"/>
        <v>18.809000000000005</v>
      </c>
      <c r="Q175" s="5">
        <f t="shared" si="47"/>
        <v>15.32</v>
      </c>
      <c r="R175" s="14">
        <f t="shared" si="43"/>
        <v>17.191250000000004</v>
      </c>
      <c r="U175" s="1">
        <f t="shared" si="44"/>
        <v>7.02</v>
      </c>
      <c r="V175" s="5">
        <f t="shared" si="45"/>
        <v>2.9899999999999998</v>
      </c>
    </row>
    <row r="176" spans="1:22" x14ac:dyDescent="0.2">
      <c r="A176" s="1">
        <v>1991</v>
      </c>
      <c r="B176" s="1">
        <v>0.31</v>
      </c>
      <c r="C176" s="1">
        <v>1.38</v>
      </c>
      <c r="D176" s="1">
        <v>2.33</v>
      </c>
      <c r="E176" s="1">
        <v>0.39</v>
      </c>
      <c r="F176" s="1">
        <v>0.34</v>
      </c>
      <c r="G176" s="1">
        <v>1.82</v>
      </c>
      <c r="H176" s="1">
        <v>0</v>
      </c>
      <c r="I176" s="1">
        <v>2.0499999999999998</v>
      </c>
      <c r="J176" s="1">
        <v>0.84</v>
      </c>
      <c r="K176" s="1">
        <v>3.55</v>
      </c>
      <c r="L176" s="1">
        <v>4.9800000000000004</v>
      </c>
      <c r="M176" s="1">
        <v>2.79</v>
      </c>
      <c r="N176" s="5">
        <f t="shared" si="41"/>
        <v>20.779999999999998</v>
      </c>
      <c r="O176" s="26">
        <f t="shared" si="46"/>
        <v>1.3244104525175269</v>
      </c>
      <c r="P176" s="14">
        <f t="shared" si="42"/>
        <v>19.182000000000002</v>
      </c>
      <c r="Q176" s="5">
        <f t="shared" si="47"/>
        <v>18.07</v>
      </c>
      <c r="R176" s="14">
        <f t="shared" si="43"/>
        <v>17.598750000000003</v>
      </c>
      <c r="U176" s="1">
        <f t="shared" si="44"/>
        <v>11.32</v>
      </c>
      <c r="V176" s="5">
        <f t="shared" si="45"/>
        <v>6.26</v>
      </c>
    </row>
    <row r="177" spans="1:22" x14ac:dyDescent="0.2">
      <c r="A177" s="1">
        <v>1992</v>
      </c>
      <c r="B177" s="1">
        <v>0.42</v>
      </c>
      <c r="C177" s="1">
        <v>1.28</v>
      </c>
      <c r="D177" s="1">
        <v>2.09</v>
      </c>
      <c r="E177" s="1">
        <v>0.4</v>
      </c>
      <c r="F177" s="1">
        <v>0.5</v>
      </c>
      <c r="G177" s="1">
        <v>0.66</v>
      </c>
      <c r="H177" s="1">
        <v>0.71</v>
      </c>
      <c r="I177" s="1">
        <v>3.27</v>
      </c>
      <c r="J177" s="1">
        <v>0.75</v>
      </c>
      <c r="K177" s="1">
        <v>1.19</v>
      </c>
      <c r="L177" s="1">
        <v>1.88</v>
      </c>
      <c r="M177" s="1">
        <v>1.24</v>
      </c>
      <c r="N177" s="5">
        <f>SUM(B177:M177)</f>
        <v>14.389999999999999</v>
      </c>
      <c r="O177" s="26">
        <f>N177/15.69</f>
        <v>0.91714467813894196</v>
      </c>
      <c r="P177" s="14">
        <f t="shared" si="42"/>
        <v>18.797000000000001</v>
      </c>
      <c r="Q177" s="5">
        <f t="shared" si="47"/>
        <v>17.584999999999997</v>
      </c>
      <c r="R177" s="14">
        <f t="shared" si="43"/>
        <v>17.393999999999998</v>
      </c>
      <c r="U177" s="1">
        <f t="shared" si="44"/>
        <v>4.3099999999999996</v>
      </c>
      <c r="V177" s="5">
        <f t="shared" si="45"/>
        <v>4.93</v>
      </c>
    </row>
    <row r="178" spans="1:22" x14ac:dyDescent="0.2">
      <c r="A178" s="1">
        <v>1993</v>
      </c>
      <c r="B178" s="1">
        <v>0.22</v>
      </c>
      <c r="C178" s="1">
        <v>2.3199999999999998</v>
      </c>
      <c r="D178" s="1">
        <v>0.76</v>
      </c>
      <c r="E178" s="1">
        <v>3.73</v>
      </c>
      <c r="F178" s="1">
        <v>1.65</v>
      </c>
      <c r="G178" s="1">
        <v>0.56999999999999995</v>
      </c>
      <c r="H178" s="1">
        <v>0.6</v>
      </c>
      <c r="I178" s="1">
        <v>1.65</v>
      </c>
      <c r="J178" s="1">
        <v>0.16</v>
      </c>
      <c r="K178" s="1">
        <v>3.06</v>
      </c>
      <c r="L178" s="1">
        <v>3.38</v>
      </c>
      <c r="M178" s="1">
        <v>3.58</v>
      </c>
      <c r="N178" s="5">
        <f t="shared" ref="N178:N191" si="48">SUM(B178:M178)</f>
        <v>21.68</v>
      </c>
      <c r="O178" s="26">
        <f t="shared" ref="O178:O196" si="49">N178/15.69</f>
        <v>1.3817718291905672</v>
      </c>
      <c r="P178" s="14">
        <f t="shared" si="42"/>
        <v>19.222000000000001</v>
      </c>
      <c r="Q178" s="5">
        <f t="shared" si="47"/>
        <v>18.035</v>
      </c>
      <c r="R178" s="14">
        <f t="shared" si="43"/>
        <v>17.448999999999995</v>
      </c>
      <c r="U178" s="1">
        <f t="shared" si="44"/>
        <v>10.02</v>
      </c>
      <c r="V178" s="5">
        <f t="shared" si="45"/>
        <v>9.0300000000000011</v>
      </c>
    </row>
    <row r="179" spans="1:22" x14ac:dyDescent="0.2">
      <c r="A179" s="1">
        <v>1994</v>
      </c>
      <c r="B179" s="1">
        <v>0.48</v>
      </c>
      <c r="C179" s="1">
        <v>1.56</v>
      </c>
      <c r="D179" s="5">
        <v>0.2</v>
      </c>
      <c r="E179" s="1">
        <v>0.14000000000000001</v>
      </c>
      <c r="F179" s="1">
        <v>1.39</v>
      </c>
      <c r="G179" s="5">
        <v>1</v>
      </c>
      <c r="H179" s="1">
        <v>1.62</v>
      </c>
      <c r="I179" s="1">
        <v>1.65</v>
      </c>
      <c r="J179" s="1">
        <v>0.27</v>
      </c>
      <c r="K179" s="1">
        <v>1.01</v>
      </c>
      <c r="L179" s="1">
        <v>2.42</v>
      </c>
      <c r="M179" s="1">
        <v>1.1100000000000001</v>
      </c>
      <c r="N179" s="5">
        <f t="shared" si="48"/>
        <v>12.85</v>
      </c>
      <c r="O179" s="26">
        <f>N179/15.69</f>
        <v>0.81899298916507335</v>
      </c>
      <c r="P179" s="14">
        <f t="shared" si="42"/>
        <v>19.166999999999998</v>
      </c>
      <c r="Q179" s="5">
        <f t="shared" si="47"/>
        <v>17.265000000000001</v>
      </c>
      <c r="R179" s="14">
        <f t="shared" si="43"/>
        <v>17.4815</v>
      </c>
      <c r="U179" s="1">
        <f t="shared" ref="U179:U208" si="50">SUM(K179:M179)</f>
        <v>4.54</v>
      </c>
      <c r="V179" s="5">
        <f t="shared" ref="V179:V206" si="51">SUM(C179:G179)</f>
        <v>4.29</v>
      </c>
    </row>
    <row r="180" spans="1:22" x14ac:dyDescent="0.2">
      <c r="A180" s="1">
        <v>1995</v>
      </c>
      <c r="B180" s="1">
        <v>2.86</v>
      </c>
      <c r="C180" s="1">
        <v>2.2000000000000002</v>
      </c>
      <c r="D180" s="1">
        <v>0.88</v>
      </c>
      <c r="E180" s="1">
        <v>1.47</v>
      </c>
      <c r="F180" s="1">
        <v>0.36</v>
      </c>
      <c r="G180" s="1">
        <v>1.2</v>
      </c>
      <c r="H180" s="1">
        <v>1.25</v>
      </c>
      <c r="I180" s="1">
        <v>1.93</v>
      </c>
      <c r="J180" s="1">
        <v>1.85</v>
      </c>
      <c r="K180" s="1">
        <v>2.09</v>
      </c>
      <c r="L180" s="1">
        <v>1.63</v>
      </c>
      <c r="M180" s="1">
        <v>1.59</v>
      </c>
      <c r="N180" s="5">
        <f t="shared" si="48"/>
        <v>19.309999999999999</v>
      </c>
      <c r="O180" s="26">
        <f t="shared" si="49"/>
        <v>1.2307202039515615</v>
      </c>
      <c r="P180" s="14">
        <f t="shared" si="42"/>
        <v>18.529</v>
      </c>
      <c r="Q180" s="5">
        <f t="shared" si="47"/>
        <v>16.079999999999998</v>
      </c>
      <c r="R180" s="14">
        <f t="shared" si="43"/>
        <v>17.512</v>
      </c>
      <c r="U180" s="1">
        <f t="shared" si="50"/>
        <v>5.31</v>
      </c>
      <c r="V180" s="5">
        <f t="shared" si="51"/>
        <v>6.11</v>
      </c>
    </row>
    <row r="181" spans="1:22" x14ac:dyDescent="0.2">
      <c r="A181" s="1">
        <v>1996</v>
      </c>
      <c r="B181" s="1">
        <v>0</v>
      </c>
      <c r="C181" s="1">
        <v>0.13</v>
      </c>
      <c r="D181" s="5">
        <v>0.4</v>
      </c>
      <c r="E181" s="5">
        <v>0.79</v>
      </c>
      <c r="F181" s="5">
        <v>0.6</v>
      </c>
      <c r="G181" s="1">
        <v>0.14000000000000001</v>
      </c>
      <c r="H181" s="1">
        <v>7.0000000000000007E-2</v>
      </c>
      <c r="I181" s="1">
        <v>0</v>
      </c>
      <c r="J181" s="1">
        <v>2.38</v>
      </c>
      <c r="K181" s="1">
        <v>2.57</v>
      </c>
      <c r="L181" s="1">
        <v>2.97</v>
      </c>
      <c r="M181" s="1">
        <v>1.45</v>
      </c>
      <c r="N181" s="5">
        <f t="shared" si="48"/>
        <v>11.5</v>
      </c>
      <c r="O181" s="26">
        <f t="shared" si="49"/>
        <v>0.73295092415551311</v>
      </c>
      <c r="P181" s="14">
        <f t="shared" si="42"/>
        <v>17.452999999999999</v>
      </c>
      <c r="Q181" s="5">
        <f t="shared" si="47"/>
        <v>15.404999999999999</v>
      </c>
      <c r="R181" s="14">
        <f t="shared" si="43"/>
        <v>17.404499999999999</v>
      </c>
      <c r="U181" s="1">
        <f t="shared" si="50"/>
        <v>6.99</v>
      </c>
      <c r="V181" s="5">
        <f t="shared" si="51"/>
        <v>2.06</v>
      </c>
    </row>
    <row r="182" spans="1:22" x14ac:dyDescent="0.2">
      <c r="A182" s="1">
        <v>1997</v>
      </c>
      <c r="B182" s="1">
        <v>3.76</v>
      </c>
      <c r="C182" s="1">
        <v>0.41</v>
      </c>
      <c r="D182" s="5">
        <v>0.06</v>
      </c>
      <c r="E182" s="5">
        <v>1.8</v>
      </c>
      <c r="F182" s="5">
        <v>1.51</v>
      </c>
      <c r="G182" s="1">
        <v>0.28000000000000003</v>
      </c>
      <c r="H182" s="5">
        <v>1.8</v>
      </c>
      <c r="I182" s="1">
        <v>0.66</v>
      </c>
      <c r="J182" s="1">
        <v>2.39</v>
      </c>
      <c r="K182" s="1">
        <v>2.19</v>
      </c>
      <c r="L182" s="1">
        <v>3.96</v>
      </c>
      <c r="M182" s="1">
        <v>2.4</v>
      </c>
      <c r="N182" s="5">
        <f t="shared" si="48"/>
        <v>21.22</v>
      </c>
      <c r="O182" s="26">
        <f t="shared" si="49"/>
        <v>1.3524537922243467</v>
      </c>
      <c r="P182" s="14">
        <f t="shared" si="42"/>
        <v>17.579999999999998</v>
      </c>
      <c r="Q182" s="5">
        <f t="shared" si="47"/>
        <v>16.36</v>
      </c>
      <c r="R182" s="14">
        <f t="shared" si="43"/>
        <v>17.921499999999998</v>
      </c>
      <c r="U182" s="1">
        <f t="shared" si="50"/>
        <v>8.5500000000000007</v>
      </c>
      <c r="V182" s="5">
        <f t="shared" si="51"/>
        <v>4.0600000000000005</v>
      </c>
    </row>
    <row r="183" spans="1:22" x14ac:dyDescent="0.2">
      <c r="A183" s="1">
        <v>1998</v>
      </c>
      <c r="B183" s="1">
        <v>0.6</v>
      </c>
      <c r="C183" s="1">
        <v>1.1599999999999999</v>
      </c>
      <c r="D183" s="5">
        <v>1.6</v>
      </c>
      <c r="E183" s="1">
        <v>0.03</v>
      </c>
      <c r="F183" s="1">
        <v>0.27</v>
      </c>
      <c r="G183" s="1">
        <v>1.57</v>
      </c>
      <c r="H183" s="1">
        <v>0.63</v>
      </c>
      <c r="I183" s="1">
        <v>0.01</v>
      </c>
      <c r="J183" s="1">
        <v>0.4</v>
      </c>
      <c r="K183" s="1">
        <v>2.56</v>
      </c>
      <c r="L183" s="1">
        <v>2.08</v>
      </c>
      <c r="M183" s="1">
        <v>0.77</v>
      </c>
      <c r="N183" s="5">
        <f t="shared" si="48"/>
        <v>11.68</v>
      </c>
      <c r="O183" s="26">
        <f t="shared" si="49"/>
        <v>0.74442319949012115</v>
      </c>
      <c r="P183" s="14">
        <f t="shared" si="42"/>
        <v>16.405000000000001</v>
      </c>
      <c r="Q183" s="5">
        <f t="shared" si="47"/>
        <v>16.45</v>
      </c>
      <c r="R183" s="14">
        <f t="shared" si="43"/>
        <v>17.880500000000005</v>
      </c>
      <c r="U183" s="1">
        <f t="shared" si="50"/>
        <v>5.41</v>
      </c>
      <c r="V183" s="5">
        <f t="shared" si="51"/>
        <v>4.63</v>
      </c>
    </row>
    <row r="184" spans="1:22" x14ac:dyDescent="0.2">
      <c r="A184" s="28">
        <v>1999</v>
      </c>
      <c r="B184" s="1">
        <v>3.72</v>
      </c>
      <c r="C184" s="1">
        <v>0.34</v>
      </c>
      <c r="D184" s="1">
        <v>0.05</v>
      </c>
      <c r="E184" s="1">
        <v>0.13</v>
      </c>
      <c r="F184" s="1">
        <v>0.01</v>
      </c>
      <c r="G184" s="1">
        <v>1.33</v>
      </c>
      <c r="H184" s="1">
        <v>1.98</v>
      </c>
      <c r="I184" s="1">
        <v>1.61</v>
      </c>
      <c r="J184" s="1">
        <v>2.0699999999999998</v>
      </c>
      <c r="K184" s="1">
        <v>2.35</v>
      </c>
      <c r="L184" s="1">
        <v>2.74</v>
      </c>
      <c r="M184" s="1">
        <v>2.44</v>
      </c>
      <c r="N184" s="5">
        <f t="shared" si="48"/>
        <v>18.77</v>
      </c>
      <c r="O184" s="26">
        <f t="shared" si="49"/>
        <v>1.1963033779477374</v>
      </c>
      <c r="P184" s="14">
        <f t="shared" si="42"/>
        <v>16.754000000000001</v>
      </c>
      <c r="Q184" s="5">
        <f t="shared" si="47"/>
        <v>15.225</v>
      </c>
      <c r="R184" s="14">
        <f t="shared" si="43"/>
        <v>17.602</v>
      </c>
      <c r="U184" s="1">
        <f t="shared" si="50"/>
        <v>7.5299999999999994</v>
      </c>
      <c r="V184" s="5">
        <f t="shared" si="51"/>
        <v>1.86</v>
      </c>
    </row>
    <row r="185" spans="1:22" x14ac:dyDescent="0.2">
      <c r="A185" s="1">
        <v>2000</v>
      </c>
      <c r="B185" s="1">
        <v>0.51</v>
      </c>
      <c r="C185" s="1">
        <v>0.05</v>
      </c>
      <c r="D185" s="1">
        <v>0.34</v>
      </c>
      <c r="E185" s="1">
        <v>0.36</v>
      </c>
      <c r="F185" s="1">
        <v>1.4999999999999999E-2</v>
      </c>
      <c r="G185" s="1">
        <v>0.89</v>
      </c>
      <c r="H185" s="1">
        <v>0.36</v>
      </c>
      <c r="I185" s="1">
        <v>0.01</v>
      </c>
      <c r="J185" s="1">
        <v>1.77</v>
      </c>
      <c r="K185" s="1">
        <v>1.1499999999999999</v>
      </c>
      <c r="L185" s="1">
        <v>3.47</v>
      </c>
      <c r="M185" s="1">
        <v>0.36</v>
      </c>
      <c r="N185" s="5">
        <f t="shared" si="48"/>
        <v>9.2850000000000001</v>
      </c>
      <c r="O185" s="26">
        <f t="shared" si="49"/>
        <v>0.59177820267686432</v>
      </c>
      <c r="P185" s="14">
        <f t="shared" si="42"/>
        <v>16.1465</v>
      </c>
      <c r="Q185" s="5">
        <f t="shared" si="47"/>
        <v>14.0275</v>
      </c>
      <c r="R185" s="14">
        <f t="shared" si="43"/>
        <v>17.477750000000004</v>
      </c>
      <c r="U185" s="1">
        <f t="shared" si="50"/>
        <v>4.9800000000000004</v>
      </c>
      <c r="V185" s="5">
        <f t="shared" si="51"/>
        <v>1.655</v>
      </c>
    </row>
    <row r="186" spans="1:22" x14ac:dyDescent="0.2">
      <c r="A186" s="28">
        <v>2001</v>
      </c>
      <c r="B186" s="1">
        <v>3.48</v>
      </c>
      <c r="C186" s="1">
        <v>1.76</v>
      </c>
      <c r="D186" s="1">
        <v>0.25</v>
      </c>
      <c r="E186" s="5">
        <v>1.6</v>
      </c>
      <c r="F186" s="5">
        <v>0.6</v>
      </c>
      <c r="G186" s="5">
        <v>0.55000000000000004</v>
      </c>
      <c r="H186" s="5">
        <v>0.6</v>
      </c>
      <c r="I186" s="1">
        <v>0.69</v>
      </c>
      <c r="J186" s="1">
        <v>0.42</v>
      </c>
      <c r="K186" s="1">
        <v>2.21</v>
      </c>
      <c r="L186" s="1">
        <v>2.08</v>
      </c>
      <c r="M186" s="1">
        <v>0.42</v>
      </c>
      <c r="N186" s="5">
        <f t="shared" si="48"/>
        <v>14.66</v>
      </c>
      <c r="O186" s="26">
        <f t="shared" si="49"/>
        <v>0.93435309114085408</v>
      </c>
      <c r="P186" s="14">
        <f>(SUM(N177:N186)/10)</f>
        <v>15.5345</v>
      </c>
      <c r="Q186" s="5">
        <f t="shared" si="47"/>
        <v>11.9725</v>
      </c>
      <c r="R186" s="14">
        <f t="shared" si="43"/>
        <v>17.358250000000002</v>
      </c>
      <c r="U186" s="1">
        <f t="shared" si="50"/>
        <v>4.71</v>
      </c>
      <c r="V186" s="5">
        <f t="shared" si="51"/>
        <v>4.76</v>
      </c>
    </row>
    <row r="187" spans="1:22" x14ac:dyDescent="0.2">
      <c r="A187" s="1">
        <v>2002</v>
      </c>
      <c r="B187" s="1">
        <v>0.27</v>
      </c>
      <c r="C187" s="1">
        <v>0.26</v>
      </c>
      <c r="D187" s="1">
        <v>0.24</v>
      </c>
      <c r="E187" s="1">
        <v>0.61</v>
      </c>
      <c r="F187" s="1">
        <v>0.06</v>
      </c>
      <c r="G187" s="1">
        <v>0</v>
      </c>
      <c r="H187" s="1">
        <v>0.17</v>
      </c>
      <c r="I187" s="1">
        <v>7.0000000000000007E-2</v>
      </c>
      <c r="J187" s="1">
        <v>0.36</v>
      </c>
      <c r="K187" s="1">
        <v>0.68</v>
      </c>
      <c r="L187" s="1">
        <v>0.97</v>
      </c>
      <c r="M187" s="1">
        <v>1.66</v>
      </c>
      <c r="N187" s="5">
        <f t="shared" si="48"/>
        <v>5.3500000000000005</v>
      </c>
      <c r="O187" s="26">
        <f t="shared" si="49"/>
        <v>0.34098151688973871</v>
      </c>
      <c r="P187" s="14">
        <f t="shared" si="42"/>
        <v>14.630500000000001</v>
      </c>
      <c r="Q187" s="5">
        <f t="shared" si="47"/>
        <v>10.005000000000001</v>
      </c>
      <c r="R187" s="14">
        <f t="shared" si="43"/>
        <v>16.713750000000001</v>
      </c>
      <c r="U187" s="1">
        <f t="shared" si="50"/>
        <v>3.3099999999999996</v>
      </c>
      <c r="V187" s="5">
        <f t="shared" si="51"/>
        <v>1.17</v>
      </c>
    </row>
    <row r="188" spans="1:22" x14ac:dyDescent="0.2">
      <c r="A188" s="1">
        <v>2003</v>
      </c>
      <c r="B188" s="5">
        <v>1.9</v>
      </c>
      <c r="C188" s="5">
        <v>0.77</v>
      </c>
      <c r="D188" s="5">
        <v>0.8</v>
      </c>
      <c r="E188" s="5">
        <v>0</v>
      </c>
      <c r="F188" s="5">
        <v>0.90500000000000003</v>
      </c>
      <c r="G188" s="5">
        <v>0.78</v>
      </c>
      <c r="H188" s="5">
        <v>0.18</v>
      </c>
      <c r="I188" s="5">
        <v>1.7</v>
      </c>
      <c r="J188" s="5">
        <v>0.27</v>
      </c>
      <c r="K188" s="5">
        <v>0.26</v>
      </c>
      <c r="L188" s="5">
        <v>2.2000000000000002</v>
      </c>
      <c r="M188" s="1">
        <v>0.41</v>
      </c>
      <c r="N188" s="5">
        <f t="shared" si="48"/>
        <v>10.175000000000001</v>
      </c>
      <c r="O188" s="26">
        <f t="shared" si="49"/>
        <v>0.64850223072020396</v>
      </c>
      <c r="P188" s="14">
        <f t="shared" si="42"/>
        <v>13.479999999999999</v>
      </c>
      <c r="Q188" s="5">
        <f t="shared" si="47"/>
        <v>7.7625000000000011</v>
      </c>
      <c r="R188" s="14">
        <f t="shared" si="43"/>
        <v>16.351000000000006</v>
      </c>
      <c r="U188" s="1">
        <f t="shared" si="50"/>
        <v>2.87</v>
      </c>
      <c r="V188" s="5">
        <f t="shared" si="51"/>
        <v>3.2549999999999999</v>
      </c>
    </row>
    <row r="189" spans="1:22" x14ac:dyDescent="0.2">
      <c r="A189" s="1">
        <v>2004</v>
      </c>
      <c r="B189" s="1">
        <v>1.05</v>
      </c>
      <c r="C189" s="1">
        <v>0.79</v>
      </c>
      <c r="D189" s="1">
        <v>0.22</v>
      </c>
      <c r="E189" s="1">
        <v>0.81</v>
      </c>
      <c r="F189" s="1">
        <v>1.41</v>
      </c>
      <c r="G189" s="1">
        <v>1.26</v>
      </c>
      <c r="H189" s="5">
        <v>3.4</v>
      </c>
      <c r="I189" s="1">
        <v>0</v>
      </c>
      <c r="J189" s="1">
        <v>0.52</v>
      </c>
      <c r="K189" s="1">
        <v>2.23</v>
      </c>
      <c r="L189" s="1">
        <v>1.66</v>
      </c>
      <c r="M189" s="1">
        <v>0.89</v>
      </c>
      <c r="N189" s="5">
        <f>SUM(B189:M189)</f>
        <v>14.24</v>
      </c>
      <c r="O189" s="26">
        <f t="shared" si="49"/>
        <v>0.90758444869343535</v>
      </c>
      <c r="P189" s="14">
        <f t="shared" ref="P189:P196" si="52">(SUM(N180:N189)/10)</f>
        <v>13.619</v>
      </c>
      <c r="Q189" s="5">
        <f t="shared" si="47"/>
        <v>12.2075</v>
      </c>
      <c r="R189" s="14">
        <f t="shared" si="43"/>
        <v>16.393000000000004</v>
      </c>
      <c r="U189" s="1">
        <f t="shared" si="50"/>
        <v>4.7799999999999994</v>
      </c>
      <c r="V189" s="5">
        <f t="shared" si="51"/>
        <v>4.49</v>
      </c>
    </row>
    <row r="190" spans="1:22" x14ac:dyDescent="0.2">
      <c r="A190" s="1">
        <v>2005</v>
      </c>
      <c r="B190" s="1">
        <v>2.66</v>
      </c>
      <c r="C190" s="1">
        <v>1.1399999999999999</v>
      </c>
      <c r="D190" s="1">
        <v>0.57999999999999996</v>
      </c>
      <c r="E190" s="1">
        <v>2.0299999999999998</v>
      </c>
      <c r="F190" s="1">
        <v>1.76</v>
      </c>
      <c r="G190" s="1">
        <v>1.81</v>
      </c>
      <c r="H190" s="1">
        <v>1.46</v>
      </c>
      <c r="I190" s="1">
        <v>0.69</v>
      </c>
      <c r="J190" s="1">
        <v>0.6</v>
      </c>
      <c r="K190" s="1">
        <v>0.92</v>
      </c>
      <c r="L190" s="1">
        <v>3.33</v>
      </c>
      <c r="M190" s="1">
        <v>3.49</v>
      </c>
      <c r="N190" s="5">
        <f>SUM(B190:M190)</f>
        <v>20.47</v>
      </c>
      <c r="O190" s="26">
        <f t="shared" si="49"/>
        <v>1.3046526449968132</v>
      </c>
      <c r="P190" s="14">
        <f t="shared" si="52"/>
        <v>13.734999999999996</v>
      </c>
      <c r="Q190" s="5">
        <f t="shared" si="47"/>
        <v>17.355</v>
      </c>
      <c r="R190" s="14">
        <f t="shared" si="43"/>
        <v>16.132000000000005</v>
      </c>
      <c r="T190" s="20"/>
      <c r="U190" s="1">
        <f t="shared" si="50"/>
        <v>7.74</v>
      </c>
      <c r="V190" s="5">
        <f t="shared" si="51"/>
        <v>7.32</v>
      </c>
    </row>
    <row r="191" spans="1:22" x14ac:dyDescent="0.2">
      <c r="A191" s="1">
        <v>2006</v>
      </c>
      <c r="B191" s="1">
        <v>1.51</v>
      </c>
      <c r="C191" s="1">
        <v>0.05</v>
      </c>
      <c r="D191" s="1">
        <v>0</v>
      </c>
      <c r="E191" s="1">
        <v>7.0000000000000007E-2</v>
      </c>
      <c r="F191" s="1">
        <v>0</v>
      </c>
      <c r="G191" s="1">
        <v>0.44</v>
      </c>
      <c r="H191" s="1">
        <v>0.2</v>
      </c>
      <c r="I191" s="1">
        <v>0.31</v>
      </c>
      <c r="J191" s="1">
        <v>0.8</v>
      </c>
      <c r="K191" s="1">
        <v>3.01</v>
      </c>
      <c r="L191" s="1">
        <v>5.1100000000000003</v>
      </c>
      <c r="M191" s="1">
        <v>0.84</v>
      </c>
      <c r="N191" s="5">
        <f t="shared" si="48"/>
        <v>12.34</v>
      </c>
      <c r="O191" s="26">
        <f t="shared" si="49"/>
        <v>0.78648820905035055</v>
      </c>
      <c r="P191" s="14">
        <f t="shared" si="52"/>
        <v>13.818999999999997</v>
      </c>
      <c r="Q191" s="5">
        <f t="shared" si="47"/>
        <v>16.405000000000001</v>
      </c>
      <c r="R191" s="14">
        <f t="shared" si="43"/>
        <v>15.635999999999999</v>
      </c>
      <c r="T191" s="5"/>
      <c r="U191" s="1">
        <f t="shared" si="50"/>
        <v>8.9600000000000009</v>
      </c>
      <c r="V191" s="5">
        <f t="shared" si="51"/>
        <v>0.56000000000000005</v>
      </c>
    </row>
    <row r="192" spans="1:22" x14ac:dyDescent="0.2">
      <c r="A192" s="1">
        <v>2007</v>
      </c>
      <c r="B192" s="1">
        <v>1.98</v>
      </c>
      <c r="C192" s="1">
        <v>0.21</v>
      </c>
      <c r="D192" s="1">
        <v>1.53</v>
      </c>
      <c r="E192" s="1">
        <v>0.51</v>
      </c>
      <c r="F192" s="1">
        <v>0.56999999999999995</v>
      </c>
      <c r="G192" s="1">
        <v>0.96</v>
      </c>
      <c r="H192" s="1">
        <v>0.69</v>
      </c>
      <c r="I192" s="1">
        <v>0.97</v>
      </c>
      <c r="J192" s="1">
        <v>0.95</v>
      </c>
      <c r="K192" s="1">
        <v>2.25</v>
      </c>
      <c r="L192" s="1">
        <v>1.4</v>
      </c>
      <c r="M192" s="1">
        <v>1.6</v>
      </c>
      <c r="N192" s="5">
        <f t="shared" ref="N192:N197" si="53">SUM(B192:M192)</f>
        <v>13.62</v>
      </c>
      <c r="O192" s="26">
        <f t="shared" si="49"/>
        <v>0.8680688336520076</v>
      </c>
      <c r="P192" s="14">
        <f t="shared" si="52"/>
        <v>13.059000000000001</v>
      </c>
      <c r="Q192" s="5">
        <f t="shared" si="47"/>
        <v>12.98</v>
      </c>
      <c r="R192" s="14">
        <f t="shared" si="43"/>
        <v>15.319499999999996</v>
      </c>
      <c r="U192" s="1">
        <f t="shared" si="50"/>
        <v>5.25</v>
      </c>
      <c r="V192" s="5">
        <f t="shared" si="51"/>
        <v>3.78</v>
      </c>
    </row>
    <row r="193" spans="1:22" x14ac:dyDescent="0.2">
      <c r="A193" s="1">
        <v>2008</v>
      </c>
      <c r="B193" s="1">
        <v>0.21</v>
      </c>
      <c r="C193" s="1">
        <v>1.87</v>
      </c>
      <c r="D193" s="1">
        <v>2.0099999999999998</v>
      </c>
      <c r="E193" s="1">
        <v>1.34</v>
      </c>
      <c r="F193" s="1">
        <v>0.81</v>
      </c>
      <c r="G193" s="1">
        <v>0.8</v>
      </c>
      <c r="H193" s="1">
        <v>0.24</v>
      </c>
      <c r="I193" s="1">
        <v>0.96</v>
      </c>
      <c r="J193" s="1">
        <v>0.16</v>
      </c>
      <c r="K193" s="1">
        <v>2.36</v>
      </c>
      <c r="L193" s="1">
        <v>3.73</v>
      </c>
      <c r="M193" s="1">
        <v>0.96</v>
      </c>
      <c r="N193" s="5">
        <f t="shared" si="53"/>
        <v>15.45</v>
      </c>
      <c r="O193" s="26">
        <f t="shared" si="49"/>
        <v>0.98470363288718932</v>
      </c>
      <c r="P193" s="14">
        <f t="shared" si="52"/>
        <v>13.436000000000002</v>
      </c>
      <c r="Q193" s="5">
        <f t="shared" si="47"/>
        <v>14.535</v>
      </c>
      <c r="R193" s="14">
        <f t="shared" si="43"/>
        <v>14.920499999999999</v>
      </c>
      <c r="U193" s="1">
        <f t="shared" si="50"/>
        <v>7.05</v>
      </c>
      <c r="V193" s="5">
        <f t="shared" si="51"/>
        <v>6.8299999999999992</v>
      </c>
    </row>
    <row r="194" spans="1:22" x14ac:dyDescent="0.2">
      <c r="A194" s="1">
        <v>2009</v>
      </c>
      <c r="B194" s="1">
        <v>1.94</v>
      </c>
      <c r="C194" s="1">
        <v>0.44</v>
      </c>
      <c r="D194" s="1">
        <v>1.66</v>
      </c>
      <c r="E194" s="1">
        <v>0.21</v>
      </c>
      <c r="F194" s="1">
        <v>0</v>
      </c>
      <c r="G194" s="1">
        <v>0.68</v>
      </c>
      <c r="H194" s="1">
        <v>1.19</v>
      </c>
      <c r="I194" s="1">
        <v>1.33</v>
      </c>
      <c r="J194" s="1">
        <v>1.6</v>
      </c>
      <c r="K194" s="1">
        <v>3.18</v>
      </c>
      <c r="L194" s="1">
        <v>1.07</v>
      </c>
      <c r="M194" s="1">
        <v>2.2200000000000002</v>
      </c>
      <c r="N194" s="5">
        <f t="shared" si="53"/>
        <v>15.52</v>
      </c>
      <c r="O194" s="26">
        <f t="shared" si="49"/>
        <v>0.9891650732950924</v>
      </c>
      <c r="P194" s="14">
        <f t="shared" si="52"/>
        <v>13.111000000000001</v>
      </c>
      <c r="Q194" s="5">
        <f t="shared" si="47"/>
        <v>15.484999999999999</v>
      </c>
      <c r="R194" s="14">
        <f t="shared" si="43"/>
        <v>14.932499999999999</v>
      </c>
      <c r="U194" s="1">
        <f t="shared" si="50"/>
        <v>6.4700000000000006</v>
      </c>
      <c r="V194" s="5">
        <f t="shared" si="51"/>
        <v>2.99</v>
      </c>
    </row>
    <row r="195" spans="1:22" x14ac:dyDescent="0.2">
      <c r="A195" s="1">
        <v>2010</v>
      </c>
      <c r="B195" s="14">
        <v>1.33</v>
      </c>
      <c r="C195" s="13">
        <v>0.25</v>
      </c>
      <c r="D195" s="13">
        <v>0.89</v>
      </c>
      <c r="E195" s="1">
        <v>1.4</v>
      </c>
      <c r="F195" s="1">
        <v>1.07</v>
      </c>
      <c r="G195" s="1">
        <v>1.6</v>
      </c>
      <c r="H195" s="1">
        <v>0.75</v>
      </c>
      <c r="I195" s="1">
        <v>0.54</v>
      </c>
      <c r="J195" s="1">
        <v>0.38</v>
      </c>
      <c r="K195" s="1">
        <v>3.9</v>
      </c>
      <c r="L195" s="1">
        <v>1.07</v>
      </c>
      <c r="M195" s="1">
        <v>0.96</v>
      </c>
      <c r="N195" s="5">
        <f t="shared" si="53"/>
        <v>14.14</v>
      </c>
      <c r="O195" s="26">
        <f t="shared" si="49"/>
        <v>0.90121096239643095</v>
      </c>
      <c r="P195" s="14">
        <f t="shared" si="52"/>
        <v>13.596500000000002</v>
      </c>
      <c r="Q195" s="5">
        <f t="shared" si="47"/>
        <v>14.83</v>
      </c>
      <c r="R195" s="14">
        <f t="shared" si="43"/>
        <v>14.871500000000001</v>
      </c>
      <c r="S195" s="25"/>
      <c r="U195" s="1">
        <f t="shared" si="50"/>
        <v>5.93</v>
      </c>
      <c r="V195" s="5">
        <f t="shared" si="51"/>
        <v>5.2100000000000009</v>
      </c>
    </row>
    <row r="196" spans="1:22" x14ac:dyDescent="0.2">
      <c r="A196" s="1">
        <v>2011</v>
      </c>
      <c r="B196" s="14">
        <v>1.22</v>
      </c>
      <c r="C196" s="13">
        <v>0.03</v>
      </c>
      <c r="D196" s="13">
        <v>1.3</v>
      </c>
      <c r="E196" s="1">
        <v>0</v>
      </c>
      <c r="F196" s="1">
        <v>0.16</v>
      </c>
      <c r="G196" s="1">
        <v>0.03</v>
      </c>
      <c r="H196" s="1">
        <v>0.13</v>
      </c>
      <c r="I196" s="1">
        <v>0.08</v>
      </c>
      <c r="J196" s="1">
        <v>0.03</v>
      </c>
      <c r="K196" s="1">
        <v>1.33</v>
      </c>
      <c r="L196" s="1">
        <v>2.5499999999999998</v>
      </c>
      <c r="M196" s="1">
        <v>1.44</v>
      </c>
      <c r="N196" s="5">
        <f t="shared" si="53"/>
        <v>8.2999999999999989</v>
      </c>
      <c r="O196" s="26">
        <f t="shared" si="49"/>
        <v>0.52899936265137026</v>
      </c>
      <c r="P196" s="14">
        <f t="shared" si="52"/>
        <v>12.960500000000001</v>
      </c>
      <c r="Q196" s="5">
        <f t="shared" si="47"/>
        <v>11.219999999999999</v>
      </c>
      <c r="R196" s="14">
        <f t="shared" si="43"/>
        <v>14.247499999999999</v>
      </c>
      <c r="U196" s="1">
        <f t="shared" si="50"/>
        <v>5.32</v>
      </c>
      <c r="V196" s="5">
        <f t="shared" si="51"/>
        <v>1.52</v>
      </c>
    </row>
    <row r="197" spans="1:22" x14ac:dyDescent="0.2">
      <c r="A197" s="1">
        <v>2012</v>
      </c>
      <c r="B197" s="14">
        <v>1.6</v>
      </c>
      <c r="C197" s="13">
        <v>0.28999999999999998</v>
      </c>
      <c r="D197" s="13">
        <v>1.59</v>
      </c>
      <c r="E197" s="1">
        <v>0.19</v>
      </c>
      <c r="F197" s="1">
        <v>0.05</v>
      </c>
      <c r="G197" s="1">
        <v>0.24</v>
      </c>
      <c r="H197" s="1">
        <v>0.79</v>
      </c>
      <c r="I197" s="1">
        <v>0.56999999999999995</v>
      </c>
      <c r="J197" s="1">
        <v>0.04</v>
      </c>
      <c r="K197" s="1">
        <v>1.1100000000000001</v>
      </c>
      <c r="L197" s="1">
        <v>0.96</v>
      </c>
      <c r="M197" s="5">
        <v>1.395</v>
      </c>
      <c r="N197" s="5">
        <f t="shared" si="53"/>
        <v>8.8250000000000011</v>
      </c>
      <c r="O197" s="26">
        <f>N197/15.69</f>
        <v>0.56246016571064383</v>
      </c>
      <c r="P197" s="14">
        <f t="shared" ref="P197:P204" si="54">(SUM(N188:N197)/10)</f>
        <v>13.307999999999998</v>
      </c>
      <c r="Q197" s="5">
        <f t="shared" ref="Q197:Q204" si="55">SUM(N196:N197)/2</f>
        <v>8.5625</v>
      </c>
      <c r="R197" s="14">
        <f t="shared" ref="R197:R204" si="56">(SUM(N178:N197)/20)</f>
        <v>13.969250000000002</v>
      </c>
      <c r="U197" s="1">
        <f t="shared" si="50"/>
        <v>3.4650000000000003</v>
      </c>
      <c r="V197" s="5">
        <f t="shared" si="51"/>
        <v>2.3600000000000003</v>
      </c>
    </row>
    <row r="198" spans="1:22" x14ac:dyDescent="0.2">
      <c r="A198" s="1">
        <v>2013</v>
      </c>
      <c r="B198" s="14">
        <v>0.15</v>
      </c>
      <c r="C198" s="13">
        <v>0.16</v>
      </c>
      <c r="D198" s="13">
        <v>0.75</v>
      </c>
      <c r="E198" s="1">
        <v>0.34</v>
      </c>
      <c r="F198" s="1">
        <v>0.2</v>
      </c>
      <c r="G198" s="1">
        <v>0.16</v>
      </c>
      <c r="H198" s="1">
        <v>0.15</v>
      </c>
      <c r="I198" s="1">
        <v>0.01</v>
      </c>
      <c r="J198" s="1">
        <v>0.21</v>
      </c>
      <c r="K198" s="1">
        <v>2.2000000000000002</v>
      </c>
      <c r="L198" s="1">
        <v>0.63</v>
      </c>
      <c r="M198" s="33">
        <v>7.88</v>
      </c>
      <c r="N198" s="5">
        <f t="shared" ref="N198:N211" si="57">SUM(B198:M198)</f>
        <v>12.84</v>
      </c>
      <c r="O198" s="26">
        <f t="shared" ref="O198:O206" si="58">N198/16.05</f>
        <v>0.79999999999999993</v>
      </c>
      <c r="P198" s="14">
        <f t="shared" si="54"/>
        <v>13.574499999999997</v>
      </c>
      <c r="Q198" s="5">
        <f t="shared" si="55"/>
        <v>10.8325</v>
      </c>
      <c r="R198" s="14">
        <f t="shared" si="56"/>
        <v>13.527249999999999</v>
      </c>
      <c r="S198" s="25"/>
      <c r="T198" s="5"/>
      <c r="U198" s="1">
        <f>SUM(K198:M198)</f>
        <v>10.71</v>
      </c>
      <c r="V198" s="5">
        <f t="shared" si="51"/>
        <v>1.6099999999999999</v>
      </c>
    </row>
    <row r="199" spans="1:22" x14ac:dyDescent="0.2">
      <c r="A199" s="1">
        <v>2014</v>
      </c>
      <c r="B199" s="1">
        <v>0.66</v>
      </c>
      <c r="C199" s="1">
        <v>2.39</v>
      </c>
      <c r="D199" s="1">
        <v>0.11</v>
      </c>
      <c r="E199" s="1">
        <v>0</v>
      </c>
      <c r="F199" s="1">
        <v>0.11</v>
      </c>
      <c r="G199" s="1">
        <v>0.57999999999999996</v>
      </c>
      <c r="H199" s="1">
        <v>0.16</v>
      </c>
      <c r="I199" s="1">
        <v>0.74</v>
      </c>
      <c r="J199" s="1">
        <v>0.63</v>
      </c>
      <c r="K199" s="1">
        <v>5.48</v>
      </c>
      <c r="L199" s="1">
        <v>0.81</v>
      </c>
      <c r="M199" s="1">
        <v>1.08</v>
      </c>
      <c r="N199" s="5">
        <f t="shared" si="57"/>
        <v>12.75</v>
      </c>
      <c r="O199" s="26">
        <f t="shared" si="58"/>
        <v>0.79439252336448596</v>
      </c>
      <c r="P199" s="14">
        <f t="shared" si="54"/>
        <v>13.4255</v>
      </c>
      <c r="Q199" s="5">
        <f t="shared" si="55"/>
        <v>12.795</v>
      </c>
      <c r="R199" s="14">
        <f t="shared" si="56"/>
        <v>13.52225</v>
      </c>
      <c r="S199" s="25"/>
      <c r="T199" s="5"/>
      <c r="U199" s="1">
        <f t="shared" si="50"/>
        <v>7.370000000000001</v>
      </c>
      <c r="V199" s="5">
        <f t="shared" si="51"/>
        <v>3.19</v>
      </c>
    </row>
    <row r="200" spans="1:22" x14ac:dyDescent="0.2">
      <c r="A200" s="1">
        <v>2015</v>
      </c>
      <c r="B200" s="1">
        <v>0.37</v>
      </c>
      <c r="C200" s="1">
        <v>0.82</v>
      </c>
      <c r="D200" s="1">
        <v>0.84</v>
      </c>
      <c r="E200" s="1">
        <v>1.21</v>
      </c>
      <c r="F200" s="1">
        <v>0.81</v>
      </c>
      <c r="G200" s="1">
        <v>0.53</v>
      </c>
      <c r="H200" s="1">
        <v>0.8</v>
      </c>
      <c r="I200" s="1">
        <v>2.56</v>
      </c>
      <c r="J200" s="1">
        <v>0.69</v>
      </c>
      <c r="K200" s="1">
        <v>3.96</v>
      </c>
      <c r="L200" s="1">
        <v>0.97</v>
      </c>
      <c r="M200" s="1">
        <v>1.1299999999999999</v>
      </c>
      <c r="N200" s="5">
        <f t="shared" si="57"/>
        <v>14.690000000000001</v>
      </c>
      <c r="O200" s="26">
        <f t="shared" si="58"/>
        <v>0.91526479750778822</v>
      </c>
      <c r="P200" s="14">
        <f t="shared" si="54"/>
        <v>12.8475</v>
      </c>
      <c r="Q200" s="5">
        <f t="shared" si="55"/>
        <v>13.72</v>
      </c>
      <c r="R200" s="14">
        <f t="shared" si="56"/>
        <v>13.29125</v>
      </c>
      <c r="S200" s="25"/>
      <c r="T200" s="5"/>
      <c r="U200" s="1">
        <f t="shared" si="50"/>
        <v>6.06</v>
      </c>
      <c r="V200" s="5">
        <f t="shared" si="51"/>
        <v>4.21</v>
      </c>
    </row>
    <row r="201" spans="1:22" x14ac:dyDescent="0.2">
      <c r="A201" s="1">
        <v>2016</v>
      </c>
      <c r="B201" s="1">
        <v>3.09</v>
      </c>
      <c r="C201" s="1">
        <v>0.79</v>
      </c>
      <c r="D201" s="1">
        <v>0.75</v>
      </c>
      <c r="E201" s="1">
        <v>0.44</v>
      </c>
      <c r="F201" s="1">
        <v>0.61</v>
      </c>
      <c r="G201" s="1">
        <v>0.02</v>
      </c>
      <c r="H201" s="1">
        <v>1.39</v>
      </c>
      <c r="I201" s="1">
        <v>0.56999999999999995</v>
      </c>
      <c r="J201" s="1">
        <v>0.27</v>
      </c>
      <c r="K201" s="1">
        <v>0.49</v>
      </c>
      <c r="L201" s="1">
        <v>4.2</v>
      </c>
      <c r="M201" s="1">
        <v>0.44</v>
      </c>
      <c r="N201" s="5">
        <f t="shared" si="57"/>
        <v>13.06</v>
      </c>
      <c r="O201" s="26">
        <f t="shared" si="58"/>
        <v>0.81370716510903429</v>
      </c>
      <c r="P201" s="14">
        <f t="shared" si="54"/>
        <v>12.919499999999999</v>
      </c>
      <c r="Q201" s="5">
        <f t="shared" si="55"/>
        <v>13.875</v>
      </c>
      <c r="R201" s="14">
        <f t="shared" si="56"/>
        <v>13.369249999999997</v>
      </c>
      <c r="S201" s="25"/>
      <c r="T201" s="5"/>
      <c r="U201" s="1">
        <f t="shared" si="50"/>
        <v>5.1300000000000008</v>
      </c>
      <c r="V201" s="5">
        <f t="shared" si="51"/>
        <v>2.61</v>
      </c>
    </row>
    <row r="202" spans="1:22" x14ac:dyDescent="0.2">
      <c r="A202" s="1">
        <v>2017</v>
      </c>
      <c r="B202" s="1">
        <v>0.21</v>
      </c>
      <c r="C202" s="1">
        <v>1.73</v>
      </c>
      <c r="D202" s="1">
        <v>0.85</v>
      </c>
      <c r="E202" s="1">
        <v>2.0299999999999998</v>
      </c>
      <c r="F202" s="1">
        <v>0.34</v>
      </c>
      <c r="G202" s="1">
        <v>0.53</v>
      </c>
      <c r="H202" s="1">
        <v>1.25</v>
      </c>
      <c r="I202" s="1">
        <v>0.9</v>
      </c>
      <c r="J202" s="1">
        <v>0.79</v>
      </c>
      <c r="K202" s="1">
        <v>1</v>
      </c>
      <c r="L202" s="1">
        <v>0.93</v>
      </c>
      <c r="M202" s="1">
        <v>3.48</v>
      </c>
      <c r="N202" s="5">
        <f t="shared" si="57"/>
        <v>14.040000000000001</v>
      </c>
      <c r="O202" s="26">
        <f t="shared" si="58"/>
        <v>0.87476635514018697</v>
      </c>
      <c r="P202" s="14">
        <f t="shared" si="54"/>
        <v>12.961500000000001</v>
      </c>
      <c r="Q202" s="5">
        <f t="shared" si="55"/>
        <v>13.55</v>
      </c>
      <c r="R202" s="14">
        <f t="shared" si="56"/>
        <v>13.010249999999999</v>
      </c>
      <c r="S202" s="25"/>
      <c r="T202" s="5"/>
      <c r="U202" s="1">
        <f t="shared" si="50"/>
        <v>5.41</v>
      </c>
      <c r="V202" s="5">
        <f t="shared" si="51"/>
        <v>5.4799999999999995</v>
      </c>
    </row>
    <row r="203" spans="1:22" x14ac:dyDescent="0.2">
      <c r="A203" s="1">
        <v>2018</v>
      </c>
      <c r="B203" s="1">
        <v>1.05</v>
      </c>
      <c r="C203" s="1">
        <v>0.08</v>
      </c>
      <c r="D203" s="1">
        <v>0</v>
      </c>
      <c r="E203" s="1">
        <v>0.01</v>
      </c>
      <c r="F203" s="1">
        <v>0.39</v>
      </c>
      <c r="G203" s="1">
        <v>0.64</v>
      </c>
      <c r="H203" s="1">
        <v>0.01</v>
      </c>
      <c r="I203" s="1">
        <v>0.3</v>
      </c>
      <c r="J203" s="1">
        <v>0.45</v>
      </c>
      <c r="K203" s="1">
        <v>2.2799999999999998</v>
      </c>
      <c r="L203" s="1">
        <v>1.57</v>
      </c>
      <c r="M203" s="1">
        <v>0.67</v>
      </c>
      <c r="N203" s="5">
        <f t="shared" si="57"/>
        <v>7.45</v>
      </c>
      <c r="O203" s="26">
        <f t="shared" si="58"/>
        <v>0.46417445482866043</v>
      </c>
      <c r="P203" s="14">
        <f t="shared" si="54"/>
        <v>12.1615</v>
      </c>
      <c r="Q203" s="5">
        <f t="shared" si="55"/>
        <v>10.745000000000001</v>
      </c>
      <c r="R203" s="14">
        <f t="shared" si="56"/>
        <v>12.798750000000002</v>
      </c>
      <c r="S203" s="25"/>
      <c r="T203" s="5"/>
      <c r="U203" s="1">
        <f t="shared" si="50"/>
        <v>4.5199999999999996</v>
      </c>
      <c r="V203" s="5">
        <f t="shared" si="51"/>
        <v>1.1200000000000001</v>
      </c>
    </row>
    <row r="204" spans="1:22" x14ac:dyDescent="0.2">
      <c r="A204" s="1">
        <v>2019</v>
      </c>
      <c r="B204" s="1">
        <v>2.9</v>
      </c>
      <c r="C204" s="1">
        <v>0.43</v>
      </c>
      <c r="D204" s="1">
        <v>1.85</v>
      </c>
      <c r="E204" s="1">
        <v>1.07</v>
      </c>
      <c r="F204" s="1">
        <v>0.94</v>
      </c>
      <c r="G204" s="1">
        <v>1.8</v>
      </c>
      <c r="H204" s="1">
        <v>1.08</v>
      </c>
      <c r="I204" s="1">
        <v>0.95</v>
      </c>
      <c r="J204" s="1">
        <v>0.13</v>
      </c>
      <c r="K204" s="1">
        <v>1.86</v>
      </c>
      <c r="L204" s="1">
        <v>1.3</v>
      </c>
      <c r="M204" s="1">
        <v>0.36</v>
      </c>
      <c r="N204" s="5">
        <f t="shared" si="57"/>
        <v>14.67</v>
      </c>
      <c r="O204" s="26">
        <f t="shared" si="58"/>
        <v>0.91401869158878501</v>
      </c>
      <c r="P204" s="14">
        <f t="shared" si="54"/>
        <v>12.076500000000001</v>
      </c>
      <c r="Q204" s="5">
        <f t="shared" si="55"/>
        <v>11.06</v>
      </c>
      <c r="R204" s="14">
        <f t="shared" si="56"/>
        <v>12.593749999999998</v>
      </c>
      <c r="S204" s="25"/>
      <c r="T204" s="5"/>
      <c r="U204" s="1">
        <f t="shared" si="50"/>
        <v>3.52</v>
      </c>
      <c r="V204" s="5">
        <f t="shared" si="51"/>
        <v>6.0900000000000007</v>
      </c>
    </row>
    <row r="205" spans="1:22" x14ac:dyDescent="0.2">
      <c r="A205" s="1">
        <v>2020</v>
      </c>
      <c r="B205" s="1">
        <v>1.23</v>
      </c>
      <c r="C205" s="1">
        <v>1.88</v>
      </c>
      <c r="D205" s="1">
        <v>0.4</v>
      </c>
      <c r="E205" s="1">
        <v>1.06</v>
      </c>
      <c r="F205" s="1">
        <v>0.81</v>
      </c>
      <c r="G205" s="1">
        <v>1.2</v>
      </c>
      <c r="H205" s="1">
        <v>0.44</v>
      </c>
      <c r="I205" s="1">
        <v>0.21</v>
      </c>
      <c r="J205" s="1">
        <v>0.25</v>
      </c>
      <c r="K205" s="1">
        <v>1.1200000000000001</v>
      </c>
      <c r="L205" s="1">
        <v>0.32</v>
      </c>
      <c r="M205" s="1">
        <v>0.63</v>
      </c>
      <c r="N205" s="5">
        <f t="shared" si="57"/>
        <v>9.5500000000000025</v>
      </c>
      <c r="O205" s="26">
        <f t="shared" si="58"/>
        <v>0.59501557632398772</v>
      </c>
      <c r="S205" s="25"/>
      <c r="T205" s="5"/>
      <c r="U205" s="1">
        <f t="shared" si="50"/>
        <v>2.0700000000000003</v>
      </c>
      <c r="V205" s="5">
        <f t="shared" si="51"/>
        <v>5.3500000000000005</v>
      </c>
    </row>
    <row r="206" spans="1:22" x14ac:dyDescent="0.2">
      <c r="A206" s="1">
        <v>2021</v>
      </c>
      <c r="B206" s="1">
        <v>0.69</v>
      </c>
      <c r="C206" s="1">
        <v>0.64</v>
      </c>
      <c r="D206" s="1">
        <v>0.23</v>
      </c>
      <c r="E206" s="1">
        <v>0.47</v>
      </c>
      <c r="F206" s="1">
        <v>0.75</v>
      </c>
      <c r="G206" s="1">
        <v>0.42</v>
      </c>
      <c r="H206" s="1">
        <v>0.03</v>
      </c>
      <c r="I206" s="1">
        <v>2.0099999999999998</v>
      </c>
      <c r="J206" s="1">
        <v>1.68</v>
      </c>
      <c r="K206" s="1">
        <v>0.45</v>
      </c>
      <c r="L206" s="1">
        <v>2.4700000000000002</v>
      </c>
      <c r="M206" s="1">
        <v>1.34</v>
      </c>
      <c r="N206" s="5">
        <f t="shared" si="57"/>
        <v>11.18</v>
      </c>
      <c r="O206" s="26">
        <f t="shared" si="58"/>
        <v>0.69657320872274142</v>
      </c>
      <c r="Q206" s="36">
        <f>N206/(SUM(B213:M213))</f>
        <v>0.6984992090605765</v>
      </c>
      <c r="R206" s="37">
        <f>N206/(SUM(B214:M214))</f>
        <v>0.90495173725640965</v>
      </c>
      <c r="S206" s="25"/>
      <c r="T206" s="5"/>
      <c r="U206" s="1">
        <f t="shared" si="50"/>
        <v>4.2600000000000007</v>
      </c>
      <c r="V206" s="5">
        <f t="shared" si="51"/>
        <v>2.5099999999999998</v>
      </c>
    </row>
    <row r="207" spans="1:22" x14ac:dyDescent="0.2">
      <c r="A207" s="1">
        <v>2022</v>
      </c>
      <c r="B207" s="1">
        <v>0.05</v>
      </c>
      <c r="C207" s="1">
        <v>0.03</v>
      </c>
      <c r="D207" s="1">
        <v>1.1499999999999999</v>
      </c>
      <c r="E207" s="1">
        <v>0.5</v>
      </c>
      <c r="F207" s="1">
        <v>1.08</v>
      </c>
      <c r="G207" s="1">
        <v>0.97</v>
      </c>
      <c r="H207" s="1">
        <v>0.04</v>
      </c>
      <c r="I207" s="1">
        <v>0.05</v>
      </c>
      <c r="J207" s="1">
        <v>3.84</v>
      </c>
      <c r="K207" s="1">
        <v>3.3</v>
      </c>
      <c r="L207" s="1">
        <v>1</v>
      </c>
      <c r="M207" s="1">
        <v>0.53</v>
      </c>
      <c r="N207" s="5">
        <f t="shared" si="57"/>
        <v>12.54</v>
      </c>
      <c r="O207" s="26"/>
      <c r="Q207" s="36">
        <f>N207/(SUM(B213:M213))</f>
        <v>0.78346870139710456</v>
      </c>
      <c r="R207" s="37">
        <f>N207/(SUM(B214:M214))</f>
        <v>1.0150353117348281</v>
      </c>
      <c r="S207" s="25"/>
      <c r="T207" s="5"/>
      <c r="U207" s="1">
        <f t="shared" si="50"/>
        <v>4.83</v>
      </c>
      <c r="V207" s="5">
        <f>SUM(C207:I207)</f>
        <v>3.8199999999999994</v>
      </c>
    </row>
    <row r="208" spans="1:22" x14ac:dyDescent="0.2">
      <c r="A208" s="1">
        <v>2023</v>
      </c>
      <c r="B208" s="1">
        <v>1.61</v>
      </c>
      <c r="C208" s="1">
        <v>0.09</v>
      </c>
      <c r="D208" s="1">
        <v>0.87</v>
      </c>
      <c r="E208" s="1">
        <v>0.9</v>
      </c>
      <c r="F208" s="1">
        <v>0.56000000000000005</v>
      </c>
      <c r="G208" s="1">
        <v>0.84</v>
      </c>
      <c r="H208" s="1">
        <v>0.11</v>
      </c>
      <c r="I208" s="1">
        <v>2.09</v>
      </c>
      <c r="J208" s="1">
        <v>0.44</v>
      </c>
      <c r="K208" s="1">
        <v>0.02</v>
      </c>
      <c r="L208" s="1">
        <v>1.37</v>
      </c>
      <c r="M208" s="1">
        <v>1.3</v>
      </c>
      <c r="N208" s="5">
        <f t="shared" si="57"/>
        <v>10.200000000000001</v>
      </c>
      <c r="O208" s="26"/>
      <c r="Q208" s="36">
        <f>N208/(SUM(B213:M213))</f>
        <v>0.63727119252396081</v>
      </c>
      <c r="R208" s="37">
        <f>N208/(SUM(B214:M214))</f>
        <v>0.82562680858813775</v>
      </c>
      <c r="S208" s="25"/>
      <c r="T208" s="5"/>
      <c r="U208" s="1">
        <f t="shared" si="50"/>
        <v>2.6900000000000004</v>
      </c>
      <c r="V208" s="5">
        <f>SUM(C208:I208)</f>
        <v>5.4599999999999991</v>
      </c>
    </row>
    <row r="209" spans="1:22" x14ac:dyDescent="0.2">
      <c r="A209" s="1">
        <v>2024</v>
      </c>
      <c r="B209" s="1">
        <v>0.06</v>
      </c>
      <c r="C209" s="5">
        <v>1</v>
      </c>
      <c r="D209" s="1">
        <v>1.17</v>
      </c>
      <c r="E209" s="1">
        <v>0.52</v>
      </c>
      <c r="F209" s="1">
        <v>0.61</v>
      </c>
      <c r="G209" s="1">
        <v>1.23</v>
      </c>
      <c r="H209" s="1">
        <v>0.23</v>
      </c>
      <c r="I209" s="1">
        <v>0.09</v>
      </c>
      <c r="J209" s="1">
        <v>1.93</v>
      </c>
      <c r="K209" s="1">
        <v>1.49</v>
      </c>
      <c r="L209" s="1">
        <v>1.26</v>
      </c>
      <c r="M209" s="1">
        <v>1.83</v>
      </c>
      <c r="N209" s="5">
        <f t="shared" si="57"/>
        <v>11.42</v>
      </c>
      <c r="O209" s="26"/>
      <c r="Q209" s="36">
        <f>N209/(SUM(B213:M213))</f>
        <v>0.71349382535525796</v>
      </c>
      <c r="R209" s="37">
        <f>N209/(SUM(B214:M214))</f>
        <v>0.92437825039966004</v>
      </c>
      <c r="S209" s="25"/>
      <c r="T209" s="5"/>
      <c r="U209" s="1">
        <f>SUM(K209:M209)</f>
        <v>4.58</v>
      </c>
      <c r="V209" s="5"/>
    </row>
    <row r="210" spans="1:22" x14ac:dyDescent="0.2">
      <c r="A210" s="1">
        <v>2025</v>
      </c>
      <c r="B210" s="1">
        <v>1.46</v>
      </c>
      <c r="C210" s="5">
        <v>1.94</v>
      </c>
      <c r="D210" s="1">
        <v>0</v>
      </c>
      <c r="E210" s="1">
        <v>0.14000000000000001</v>
      </c>
      <c r="F210" s="1">
        <v>0.08</v>
      </c>
      <c r="G210" s="1">
        <v>0.28000000000000003</v>
      </c>
      <c r="H210" s="1">
        <v>0.4</v>
      </c>
      <c r="I210" s="1">
        <v>2.42</v>
      </c>
      <c r="J210" s="1">
        <v>1.32</v>
      </c>
      <c r="K210" s="1">
        <v>1.38</v>
      </c>
      <c r="L210" s="1">
        <v>2.2000000000000002</v>
      </c>
      <c r="M210" s="1">
        <v>2.11</v>
      </c>
      <c r="N210" s="5">
        <f t="shared" si="57"/>
        <v>13.73</v>
      </c>
      <c r="O210" s="26"/>
      <c r="Q210" s="36">
        <f>N210/(SUM(B213:M213))</f>
        <v>0.85781700719156673</v>
      </c>
      <c r="R210" s="37">
        <f>N210/(SUM(B214:M214))</f>
        <v>1.1113584394034441</v>
      </c>
      <c r="S210" s="37">
        <f>N210/(N106)</f>
        <v>1.0685795078671216</v>
      </c>
      <c r="T210" s="5"/>
      <c r="U210" s="1">
        <f>SUM(K210:M210)</f>
        <v>5.6899999999999995</v>
      </c>
      <c r="V210" s="5"/>
    </row>
    <row r="211" spans="1:22" x14ac:dyDescent="0.2">
      <c r="A211" s="1">
        <v>2026</v>
      </c>
      <c r="B211" s="1">
        <v>1</v>
      </c>
      <c r="C211" s="5">
        <v>1</v>
      </c>
      <c r="D211" s="1">
        <v>0.33</v>
      </c>
      <c r="E211" s="1">
        <v>0.49</v>
      </c>
      <c r="F211" s="1">
        <v>0.25</v>
      </c>
      <c r="G211" s="1">
        <v>0</v>
      </c>
      <c r="H211" s="1">
        <v>0.51</v>
      </c>
      <c r="I211" s="1">
        <v>1.36</v>
      </c>
      <c r="N211" s="5">
        <f>SUM(B211:M211)</f>
        <v>4.9400000000000004</v>
      </c>
      <c r="O211" s="26"/>
      <c r="Q211" s="36">
        <f>N211/(SUM(B213:I213))</f>
        <v>0.62579680066843668</v>
      </c>
      <c r="R211" s="37">
        <f>N211/(SUM(B214:I214))</f>
        <v>0.81511426449962876</v>
      </c>
      <c r="S211" s="37"/>
      <c r="T211" s="5"/>
      <c r="V211" s="5"/>
    </row>
    <row r="212" spans="1:22" x14ac:dyDescent="0.2">
      <c r="A212" s="2" t="s">
        <v>25</v>
      </c>
      <c r="B212" s="2" t="s">
        <v>10</v>
      </c>
      <c r="C212" s="2" t="s">
        <v>11</v>
      </c>
      <c r="D212" s="2" t="s">
        <v>12</v>
      </c>
      <c r="E212" s="2" t="s">
        <v>1</v>
      </c>
      <c r="F212" s="2" t="s">
        <v>2</v>
      </c>
      <c r="G212" s="2" t="s">
        <v>3</v>
      </c>
      <c r="H212" s="2" t="s">
        <v>4</v>
      </c>
      <c r="I212" s="2" t="s">
        <v>5</v>
      </c>
      <c r="J212" s="2" t="s">
        <v>6</v>
      </c>
      <c r="K212" s="2" t="s">
        <v>7</v>
      </c>
      <c r="L212" s="2" t="s">
        <v>8</v>
      </c>
      <c r="M212" s="2" t="s">
        <v>9</v>
      </c>
      <c r="N212" s="1" t="s">
        <v>26</v>
      </c>
      <c r="O212" s="26"/>
      <c r="P212" s="32"/>
    </row>
    <row r="213" spans="1:22" x14ac:dyDescent="0.2">
      <c r="A213" s="1" t="s">
        <v>86</v>
      </c>
      <c r="B213" s="5">
        <f>K105</f>
        <v>1.4335638297872344</v>
      </c>
      <c r="C213" s="5">
        <f>L105</f>
        <v>0.90765957446808554</v>
      </c>
      <c r="D213" s="5">
        <f>M105</f>
        <v>0.9120744680851065</v>
      </c>
      <c r="E213" s="5">
        <f t="shared" ref="E213:M213" si="59">B105</f>
        <v>0.81085106382978722</v>
      </c>
      <c r="F213" s="5">
        <f t="shared" si="59"/>
        <v>0.78521276595744671</v>
      </c>
      <c r="G213" s="5">
        <f t="shared" si="59"/>
        <v>0.96132978723404205</v>
      </c>
      <c r="H213" s="5">
        <f t="shared" si="59"/>
        <v>0.81781914893617025</v>
      </c>
      <c r="I213" s="5">
        <f t="shared" si="59"/>
        <v>1.2654255319148937</v>
      </c>
      <c r="J213" s="5">
        <f t="shared" si="59"/>
        <v>1.0885638297872338</v>
      </c>
      <c r="K213" s="5">
        <f t="shared" si="59"/>
        <v>2.4322340425531919</v>
      </c>
      <c r="L213" s="5">
        <f t="shared" si="59"/>
        <v>2.7317021276595743</v>
      </c>
      <c r="M213" s="5">
        <f t="shared" si="59"/>
        <v>1.8593085106382989</v>
      </c>
      <c r="N213" s="5">
        <f>SUM(B213:M213)</f>
        <v>16.005744680851066</v>
      </c>
      <c r="O213" s="26"/>
      <c r="Q213" s="13"/>
      <c r="T213" s="5"/>
    </row>
    <row r="214" spans="1:22" x14ac:dyDescent="0.2">
      <c r="A214" s="1" t="s">
        <v>87</v>
      </c>
      <c r="B214" s="5">
        <f>K107</f>
        <v>1.1405000000000001</v>
      </c>
      <c r="C214" s="5">
        <f>L107</f>
        <v>0.80349999999999999</v>
      </c>
      <c r="D214" s="5">
        <f>M107</f>
        <v>0.91400000000000003</v>
      </c>
      <c r="E214" s="5">
        <f t="shared" ref="E214:M214" si="60">B107</f>
        <v>0.62050000000000005</v>
      </c>
      <c r="F214" s="5">
        <f t="shared" si="60"/>
        <v>0.49750000000000005</v>
      </c>
      <c r="G214" s="5">
        <f t="shared" si="60"/>
        <v>0.69750000000000001</v>
      </c>
      <c r="H214" s="5">
        <f t="shared" si="60"/>
        <v>0.50399999999999978</v>
      </c>
      <c r="I214" s="5">
        <f t="shared" si="60"/>
        <v>0.88300000000000023</v>
      </c>
      <c r="J214" s="5">
        <f t="shared" si="60"/>
        <v>0.82950000000000002</v>
      </c>
      <c r="K214" s="5">
        <f t="shared" si="60"/>
        <v>2.1085000000000003</v>
      </c>
      <c r="L214" s="5">
        <f t="shared" si="60"/>
        <v>1.746</v>
      </c>
      <c r="M214" s="5">
        <f t="shared" si="60"/>
        <v>1.60975</v>
      </c>
      <c r="N214" s="5">
        <f>SUM(B214:M214)</f>
        <v>12.35425</v>
      </c>
      <c r="O214" s="26"/>
    </row>
    <row r="216" spans="1:22" x14ac:dyDescent="0.2">
      <c r="O216" s="14"/>
      <c r="R216" s="13"/>
      <c r="U216" s="1" t="s">
        <v>91</v>
      </c>
      <c r="V216" s="1" t="s">
        <v>83</v>
      </c>
    </row>
    <row r="217" spans="1:22" x14ac:dyDescent="0.2">
      <c r="O217" s="14"/>
      <c r="Q217" s="5"/>
    </row>
    <row r="232" spans="3:3" x14ac:dyDescent="0.2">
      <c r="C232" s="13"/>
    </row>
  </sheetData>
  <phoneticPr fontId="8" type="noConversion"/>
  <printOptions gridLines="1"/>
  <pageMargins left="0.75" right="0.25" top="0.55000000000000004" bottom="0.21" header="0.27" footer="0.21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"/>
  <sheetViews>
    <sheetView workbookViewId="0">
      <pane xSplit="1" ySplit="1" topLeftCell="G70" activePane="bottomRight" state="frozen"/>
      <selection pane="topRight" activeCell="B1" sqref="B1"/>
      <selection pane="bottomLeft" activeCell="A2" sqref="A2"/>
      <selection pane="bottomRight" activeCell="Q79" sqref="Q79"/>
    </sheetView>
  </sheetViews>
  <sheetFormatPr defaultColWidth="8.7109375" defaultRowHeight="11.25" x14ac:dyDescent="0.2"/>
  <cols>
    <col min="1" max="1" width="4.140625" style="1" bestFit="1" customWidth="1"/>
    <col min="2" max="2" width="5.140625" style="1" bestFit="1" customWidth="1"/>
    <col min="3" max="3" width="5.28515625" style="1" bestFit="1" customWidth="1"/>
    <col min="4" max="4" width="5.42578125" style="1" bestFit="1" customWidth="1"/>
    <col min="5" max="5" width="4.85546875" style="1" bestFit="1" customWidth="1"/>
    <col min="6" max="6" width="5.140625" style="1" bestFit="1" customWidth="1"/>
    <col min="7" max="7" width="5.42578125" style="1" bestFit="1" customWidth="1"/>
    <col min="8" max="9" width="5.140625" style="1" bestFit="1" customWidth="1"/>
    <col min="10" max="10" width="4.85546875" style="1" bestFit="1" customWidth="1"/>
    <col min="11" max="11" width="4.7109375" style="1" bestFit="1" customWidth="1"/>
    <col min="12" max="12" width="5.28515625" style="1" bestFit="1" customWidth="1"/>
    <col min="13" max="13" width="5.140625" style="1" bestFit="1" customWidth="1"/>
    <col min="14" max="14" width="6.42578125" style="1" bestFit="1" customWidth="1"/>
    <col min="15" max="15" width="5.5703125" style="1" customWidth="1"/>
    <col min="16" max="16" width="5.85546875" style="1" customWidth="1"/>
    <col min="17" max="17" width="10.140625" style="1" bestFit="1" customWidth="1"/>
    <col min="18" max="18" width="9.5703125" style="1" bestFit="1" customWidth="1"/>
    <col min="19" max="59" width="4.85546875" style="1" bestFit="1" customWidth="1"/>
    <col min="60" max="16384" width="8.7109375" style="1"/>
  </cols>
  <sheetData>
    <row r="1" spans="1:18" ht="22.5" customHeight="1" x14ac:dyDescent="0.2"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3" t="s">
        <v>26</v>
      </c>
      <c r="O1" s="7" t="s">
        <v>17</v>
      </c>
      <c r="P1" s="1" t="s">
        <v>39</v>
      </c>
      <c r="Q1" s="1" t="s">
        <v>40</v>
      </c>
      <c r="R1" s="1" t="s">
        <v>41</v>
      </c>
    </row>
    <row r="2" spans="1:18" x14ac:dyDescent="0.2">
      <c r="A2" s="1">
        <v>1929</v>
      </c>
      <c r="B2" s="1">
        <v>1.3</v>
      </c>
      <c r="C2" s="1">
        <v>0.51</v>
      </c>
      <c r="D2" s="1">
        <v>0.28999999999999998</v>
      </c>
      <c r="E2" s="1">
        <v>0.11</v>
      </c>
      <c r="F2" s="1">
        <v>1.78</v>
      </c>
      <c r="G2" s="1">
        <v>0.37</v>
      </c>
      <c r="H2" s="1">
        <v>0.27</v>
      </c>
      <c r="I2" s="1">
        <v>3.93</v>
      </c>
      <c r="J2" s="1">
        <v>0.59</v>
      </c>
      <c r="K2" s="1">
        <v>2.46</v>
      </c>
      <c r="L2" s="1">
        <v>3.16</v>
      </c>
      <c r="M2" s="1">
        <v>3.74</v>
      </c>
      <c r="N2" s="15">
        <f t="shared" ref="N2:N46" si="0">SUM(B2:M2)</f>
        <v>18.509999999999998</v>
      </c>
      <c r="O2" s="16"/>
    </row>
    <row r="3" spans="1:18" x14ac:dyDescent="0.2">
      <c r="A3" s="1">
        <v>1931</v>
      </c>
      <c r="B3" s="1">
        <v>1.71</v>
      </c>
      <c r="C3" s="1">
        <v>1.04</v>
      </c>
      <c r="D3" s="1">
        <v>0.03</v>
      </c>
      <c r="E3" s="1">
        <v>0.13</v>
      </c>
      <c r="F3" s="1">
        <v>2.17</v>
      </c>
      <c r="G3" s="1">
        <v>3</v>
      </c>
      <c r="H3" s="1">
        <v>2.72</v>
      </c>
      <c r="I3" s="1">
        <v>0.52</v>
      </c>
      <c r="J3" s="1">
        <v>0.41</v>
      </c>
      <c r="K3" s="1">
        <v>2.74</v>
      </c>
      <c r="L3" s="1">
        <v>2.2599999999999998</v>
      </c>
      <c r="M3" s="1">
        <v>5.25</v>
      </c>
      <c r="N3" s="15">
        <f t="shared" si="0"/>
        <v>21.98</v>
      </c>
      <c r="O3" s="16"/>
    </row>
    <row r="4" spans="1:18" x14ac:dyDescent="0.2">
      <c r="A4" s="1">
        <v>1932</v>
      </c>
      <c r="B4" s="1">
        <v>1.44</v>
      </c>
      <c r="C4" s="1">
        <v>2.16</v>
      </c>
      <c r="D4" s="1">
        <v>0.88</v>
      </c>
      <c r="E4" s="1">
        <v>0.84</v>
      </c>
      <c r="F4" s="1">
        <v>1.1000000000000001</v>
      </c>
      <c r="G4" s="1">
        <v>0.64</v>
      </c>
      <c r="H4" s="1">
        <v>0.39</v>
      </c>
      <c r="I4" s="1">
        <v>1.62</v>
      </c>
      <c r="J4" s="1">
        <v>0.85</v>
      </c>
      <c r="K4" s="1">
        <v>2.5299999999999998</v>
      </c>
      <c r="L4" s="1">
        <v>2.2400000000000002</v>
      </c>
      <c r="M4" s="1">
        <v>1.07</v>
      </c>
      <c r="N4" s="15">
        <f t="shared" si="0"/>
        <v>15.76</v>
      </c>
      <c r="O4" s="16"/>
      <c r="P4" s="1">
        <v>1932</v>
      </c>
      <c r="Q4" s="5">
        <f>SUM(C4:G4)</f>
        <v>5.62</v>
      </c>
      <c r="R4" s="5">
        <f>SUM(B4:G4)</f>
        <v>7.06</v>
      </c>
    </row>
    <row r="5" spans="1:18" x14ac:dyDescent="0.2">
      <c r="A5" s="1">
        <v>1933</v>
      </c>
      <c r="B5" s="1">
        <v>1.72</v>
      </c>
      <c r="C5" s="1">
        <v>0</v>
      </c>
      <c r="D5" s="1">
        <v>1.26</v>
      </c>
      <c r="E5" s="1">
        <v>0.57999999999999996</v>
      </c>
      <c r="F5" s="22" t="s">
        <v>13</v>
      </c>
      <c r="G5" s="1">
        <v>0.39</v>
      </c>
      <c r="H5" s="1">
        <v>0.53</v>
      </c>
      <c r="I5" s="1">
        <v>0.31</v>
      </c>
      <c r="J5" s="1">
        <v>2.65</v>
      </c>
      <c r="K5" s="1">
        <v>2.4300000000000002</v>
      </c>
      <c r="L5" s="1">
        <v>2.88</v>
      </c>
      <c r="M5" s="1">
        <v>1.1299999999999999</v>
      </c>
      <c r="N5" s="15">
        <f t="shared" si="0"/>
        <v>13.879999999999999</v>
      </c>
      <c r="O5" s="16">
        <v>-1</v>
      </c>
      <c r="P5" s="1">
        <v>1933</v>
      </c>
      <c r="Q5" s="5">
        <f t="shared" ref="Q5:Q68" si="1">SUM(C5:G5)</f>
        <v>2.23</v>
      </c>
      <c r="R5" s="5">
        <f t="shared" ref="R5:R68" si="2">SUM(B5:G5)</f>
        <v>3.95</v>
      </c>
    </row>
    <row r="6" spans="1:18" x14ac:dyDescent="0.2">
      <c r="A6" s="1">
        <v>1934</v>
      </c>
      <c r="B6" s="22" t="s">
        <v>13</v>
      </c>
      <c r="C6" s="22" t="s">
        <v>13</v>
      </c>
      <c r="D6" s="22" t="s">
        <v>13</v>
      </c>
      <c r="E6" s="22" t="s">
        <v>13</v>
      </c>
      <c r="F6" s="22" t="s">
        <v>13</v>
      </c>
      <c r="G6" s="22" t="s">
        <v>13</v>
      </c>
      <c r="H6" s="22" t="s">
        <v>13</v>
      </c>
      <c r="I6" s="1">
        <v>2.63</v>
      </c>
      <c r="J6" s="1">
        <v>0.42</v>
      </c>
      <c r="K6" s="1">
        <v>1.61</v>
      </c>
      <c r="L6" s="1">
        <v>2.56</v>
      </c>
      <c r="M6" s="1">
        <v>1.95</v>
      </c>
      <c r="N6" s="15">
        <f t="shared" si="0"/>
        <v>9.17</v>
      </c>
      <c r="O6" s="16">
        <v>-7</v>
      </c>
      <c r="P6" s="1">
        <v>1934</v>
      </c>
      <c r="Q6" s="5">
        <f t="shared" si="1"/>
        <v>0</v>
      </c>
      <c r="R6" s="5">
        <f t="shared" si="2"/>
        <v>0</v>
      </c>
    </row>
    <row r="7" spans="1:18" x14ac:dyDescent="0.2">
      <c r="A7" s="1">
        <v>1935</v>
      </c>
      <c r="B7" s="1">
        <v>0.62</v>
      </c>
      <c r="C7" s="22" t="s">
        <v>13</v>
      </c>
      <c r="D7" s="22" t="s">
        <v>13</v>
      </c>
      <c r="E7" s="1">
        <v>0.63</v>
      </c>
      <c r="F7" s="1">
        <v>0.47</v>
      </c>
      <c r="G7" s="1">
        <v>0.1</v>
      </c>
      <c r="H7" s="1">
        <v>1.03</v>
      </c>
      <c r="I7" s="1">
        <v>1.79</v>
      </c>
      <c r="J7" s="1">
        <v>0.12</v>
      </c>
      <c r="K7" s="1">
        <v>1.06</v>
      </c>
      <c r="L7" s="1">
        <v>5.62</v>
      </c>
      <c r="M7" s="1">
        <v>1.36</v>
      </c>
      <c r="N7" s="15">
        <f t="shared" si="0"/>
        <v>12.8</v>
      </c>
      <c r="O7" s="16">
        <v>-2</v>
      </c>
      <c r="P7" s="1">
        <v>1935</v>
      </c>
      <c r="Q7" s="5">
        <v>0</v>
      </c>
      <c r="R7" s="5">
        <v>0</v>
      </c>
    </row>
    <row r="8" spans="1:18" x14ac:dyDescent="0.2">
      <c r="A8" s="1">
        <v>1936</v>
      </c>
      <c r="B8" s="1">
        <v>0.69</v>
      </c>
      <c r="C8" s="1">
        <v>1.46</v>
      </c>
      <c r="D8" s="1">
        <v>0.5</v>
      </c>
      <c r="E8" s="1">
        <v>0.76</v>
      </c>
      <c r="F8" s="1">
        <v>0.85</v>
      </c>
      <c r="G8" s="1">
        <v>0.48</v>
      </c>
      <c r="H8" s="1">
        <v>0.59</v>
      </c>
      <c r="I8" s="1">
        <v>1.58</v>
      </c>
      <c r="J8" s="1">
        <v>0.55000000000000004</v>
      </c>
      <c r="K8" s="1">
        <v>3.23</v>
      </c>
      <c r="L8" s="1">
        <v>1.32</v>
      </c>
      <c r="M8" s="1">
        <v>3.16</v>
      </c>
      <c r="N8" s="15">
        <f t="shared" si="0"/>
        <v>15.17</v>
      </c>
      <c r="O8" s="16"/>
      <c r="P8" s="1">
        <v>1936</v>
      </c>
      <c r="Q8" s="5">
        <f t="shared" si="1"/>
        <v>4.05</v>
      </c>
      <c r="R8" s="5">
        <f t="shared" si="2"/>
        <v>4.74</v>
      </c>
    </row>
    <row r="9" spans="1:18" x14ac:dyDescent="0.2">
      <c r="A9" s="1">
        <v>1937</v>
      </c>
      <c r="B9" s="1">
        <v>0.76</v>
      </c>
      <c r="C9" s="1">
        <v>7.0000000000000007E-2</v>
      </c>
      <c r="D9" s="1">
        <v>1.1299999999999999</v>
      </c>
      <c r="E9" s="1">
        <v>0.21</v>
      </c>
      <c r="F9" s="1">
        <v>0.87</v>
      </c>
      <c r="G9" s="1">
        <v>0.67</v>
      </c>
      <c r="H9" s="1">
        <v>0.36</v>
      </c>
      <c r="I9" s="1">
        <v>4.1500000000000004</v>
      </c>
      <c r="J9" s="1">
        <v>3.04</v>
      </c>
      <c r="K9" s="1">
        <v>1.01</v>
      </c>
      <c r="L9" s="1">
        <v>0.9</v>
      </c>
      <c r="M9" s="1">
        <v>1.74</v>
      </c>
      <c r="N9" s="15">
        <f t="shared" si="0"/>
        <v>14.910000000000002</v>
      </c>
      <c r="O9" s="16"/>
      <c r="P9" s="1">
        <v>1937</v>
      </c>
      <c r="Q9" s="5">
        <f t="shared" si="1"/>
        <v>2.9499999999999997</v>
      </c>
      <c r="R9" s="5">
        <f t="shared" si="2"/>
        <v>3.71</v>
      </c>
    </row>
    <row r="10" spans="1:18" x14ac:dyDescent="0.2">
      <c r="A10" s="1">
        <v>1938</v>
      </c>
      <c r="B10" s="1">
        <v>1.3</v>
      </c>
      <c r="C10" s="1">
        <v>0</v>
      </c>
      <c r="D10" s="1">
        <v>0.53</v>
      </c>
      <c r="E10" s="1">
        <v>0.35</v>
      </c>
      <c r="F10" s="1">
        <v>0.52</v>
      </c>
      <c r="G10" s="1">
        <v>1.1499999999999999</v>
      </c>
      <c r="H10" s="1">
        <v>0.15</v>
      </c>
      <c r="I10" s="1">
        <v>0.84</v>
      </c>
      <c r="J10" s="1">
        <v>1.62</v>
      </c>
      <c r="K10" s="1">
        <v>1.63</v>
      </c>
      <c r="L10" s="1">
        <v>0.49</v>
      </c>
      <c r="M10" s="1">
        <v>2.38</v>
      </c>
      <c r="N10" s="15">
        <f t="shared" si="0"/>
        <v>10.96</v>
      </c>
      <c r="O10" s="16"/>
      <c r="P10" s="1">
        <v>1938</v>
      </c>
      <c r="Q10" s="5">
        <f t="shared" si="1"/>
        <v>2.5499999999999998</v>
      </c>
      <c r="R10" s="5">
        <f t="shared" si="2"/>
        <v>3.85</v>
      </c>
    </row>
    <row r="11" spans="1:18" x14ac:dyDescent="0.2">
      <c r="A11" s="1">
        <v>1939</v>
      </c>
      <c r="B11" s="1">
        <v>1.52</v>
      </c>
      <c r="C11" s="1">
        <v>0.73</v>
      </c>
      <c r="D11" s="1">
        <v>0.82</v>
      </c>
      <c r="E11" s="1">
        <v>2.14</v>
      </c>
      <c r="F11" s="1">
        <v>0.84</v>
      </c>
      <c r="G11" s="1">
        <v>0.85</v>
      </c>
      <c r="H11" s="1">
        <v>0.68</v>
      </c>
      <c r="I11" s="1">
        <v>0.6</v>
      </c>
      <c r="J11" s="1">
        <v>0.34</v>
      </c>
      <c r="K11" s="1">
        <v>4.5199999999999996</v>
      </c>
      <c r="L11" s="1">
        <v>2.0499999999999998</v>
      </c>
      <c r="M11" s="1">
        <v>2</v>
      </c>
      <c r="N11" s="15">
        <f t="shared" si="0"/>
        <v>17.09</v>
      </c>
      <c r="O11" s="16"/>
      <c r="P11" s="1">
        <v>1939</v>
      </c>
      <c r="Q11" s="5">
        <f t="shared" si="1"/>
        <v>5.38</v>
      </c>
      <c r="R11" s="5">
        <f t="shared" si="2"/>
        <v>6.8999999999999995</v>
      </c>
    </row>
    <row r="12" spans="1:18" x14ac:dyDescent="0.2">
      <c r="A12" s="1">
        <v>1940</v>
      </c>
      <c r="B12" s="1">
        <v>1.62</v>
      </c>
      <c r="C12" s="1">
        <v>1.79</v>
      </c>
      <c r="D12" s="1">
        <v>0.6</v>
      </c>
      <c r="E12" s="1">
        <v>0.6</v>
      </c>
      <c r="F12" s="1">
        <v>1.63</v>
      </c>
      <c r="G12" s="1">
        <v>1.34</v>
      </c>
      <c r="H12" s="1">
        <v>0.44</v>
      </c>
      <c r="I12" s="1">
        <v>1.69</v>
      </c>
      <c r="J12" s="1">
        <v>0.25</v>
      </c>
      <c r="K12" s="1">
        <v>3.45</v>
      </c>
      <c r="L12" s="1">
        <v>1.74</v>
      </c>
      <c r="M12" s="1">
        <v>3.12</v>
      </c>
      <c r="N12" s="15">
        <f t="shared" si="0"/>
        <v>18.27</v>
      </c>
      <c r="O12" s="16"/>
      <c r="P12" s="1">
        <v>1940</v>
      </c>
      <c r="Q12" s="5">
        <f t="shared" si="1"/>
        <v>5.96</v>
      </c>
      <c r="R12" s="5">
        <f t="shared" si="2"/>
        <v>7.5799999999999992</v>
      </c>
    </row>
    <row r="13" spans="1:18" x14ac:dyDescent="0.2">
      <c r="A13" s="1">
        <v>1941</v>
      </c>
      <c r="B13" s="1">
        <v>0.59</v>
      </c>
      <c r="C13" s="1">
        <v>2.2799999999999998</v>
      </c>
      <c r="D13" s="1">
        <v>3.32</v>
      </c>
      <c r="E13" s="1">
        <v>1.51</v>
      </c>
      <c r="F13" s="1">
        <v>1.61</v>
      </c>
      <c r="G13" s="1">
        <v>3.79</v>
      </c>
      <c r="H13" s="1">
        <v>2.17</v>
      </c>
      <c r="I13" s="1">
        <v>2.4300000000000002</v>
      </c>
      <c r="J13" s="1">
        <v>1.42</v>
      </c>
      <c r="K13" s="1">
        <v>2.64</v>
      </c>
      <c r="L13" s="1">
        <v>2.34</v>
      </c>
      <c r="M13" s="1">
        <v>3.15</v>
      </c>
      <c r="N13" s="15">
        <f t="shared" si="0"/>
        <v>27.249999999999996</v>
      </c>
      <c r="O13" s="16"/>
      <c r="P13" s="1">
        <v>1941</v>
      </c>
      <c r="Q13" s="5">
        <f t="shared" si="1"/>
        <v>12.509999999999998</v>
      </c>
      <c r="R13" s="5">
        <f t="shared" si="2"/>
        <v>13.099999999999998</v>
      </c>
    </row>
    <row r="14" spans="1:18" x14ac:dyDescent="0.2">
      <c r="A14" s="1">
        <v>1942</v>
      </c>
      <c r="B14" s="1">
        <v>3.37</v>
      </c>
      <c r="C14" s="1">
        <v>0.77</v>
      </c>
      <c r="D14" s="1">
        <v>0.76</v>
      </c>
      <c r="E14" s="1">
        <v>0.05</v>
      </c>
      <c r="F14" s="1">
        <v>0.92</v>
      </c>
      <c r="G14" s="1">
        <v>1.04</v>
      </c>
      <c r="H14" s="1">
        <v>3.38</v>
      </c>
      <c r="I14" s="1">
        <v>0.59</v>
      </c>
      <c r="J14" s="1">
        <v>0.57999999999999996</v>
      </c>
      <c r="K14" s="1">
        <v>0.69</v>
      </c>
      <c r="L14" s="1">
        <v>1.78</v>
      </c>
      <c r="M14" s="1">
        <v>2.42</v>
      </c>
      <c r="N14" s="15">
        <f t="shared" si="0"/>
        <v>16.349999999999998</v>
      </c>
      <c r="O14" s="16"/>
      <c r="P14" s="1">
        <v>1942</v>
      </c>
      <c r="Q14" s="5">
        <f t="shared" si="1"/>
        <v>3.54</v>
      </c>
      <c r="R14" s="5">
        <f t="shared" si="2"/>
        <v>6.91</v>
      </c>
    </row>
    <row r="15" spans="1:18" x14ac:dyDescent="0.2">
      <c r="A15" s="1">
        <v>1943</v>
      </c>
      <c r="B15" s="1">
        <v>1.1599999999999999</v>
      </c>
      <c r="C15" s="1">
        <v>5.0000000000000001E-3</v>
      </c>
      <c r="D15" s="1">
        <v>1.31</v>
      </c>
      <c r="E15" s="1">
        <v>0.43</v>
      </c>
      <c r="F15" s="1">
        <v>0.14000000000000001</v>
      </c>
      <c r="G15" s="1">
        <v>0.97</v>
      </c>
      <c r="H15" s="1">
        <v>0.49</v>
      </c>
      <c r="I15" s="1">
        <v>1.29</v>
      </c>
      <c r="J15" s="1">
        <v>2.39</v>
      </c>
      <c r="K15" s="1">
        <v>2.74</v>
      </c>
      <c r="L15" s="1">
        <v>0.91</v>
      </c>
      <c r="M15" s="1">
        <v>0.91</v>
      </c>
      <c r="N15" s="15">
        <f t="shared" si="0"/>
        <v>12.745000000000001</v>
      </c>
      <c r="O15" s="16"/>
      <c r="P15" s="1">
        <v>1943</v>
      </c>
      <c r="Q15" s="5">
        <f t="shared" si="1"/>
        <v>2.8549999999999995</v>
      </c>
      <c r="R15" s="5">
        <f t="shared" si="2"/>
        <v>4.0149999999999997</v>
      </c>
    </row>
    <row r="16" spans="1:18" x14ac:dyDescent="0.2">
      <c r="A16" s="1">
        <v>1944</v>
      </c>
      <c r="B16" s="1">
        <v>0.88</v>
      </c>
      <c r="C16" s="1">
        <v>0.89</v>
      </c>
      <c r="D16" s="1">
        <v>2.02</v>
      </c>
      <c r="E16" s="1">
        <v>0.66</v>
      </c>
      <c r="F16" s="1">
        <v>0.56000000000000005</v>
      </c>
      <c r="G16" s="1">
        <v>0.8</v>
      </c>
      <c r="H16" s="1">
        <v>1.28</v>
      </c>
      <c r="I16" s="1">
        <v>1.29</v>
      </c>
      <c r="J16" s="1">
        <v>0.23</v>
      </c>
      <c r="K16" s="1">
        <v>2.74</v>
      </c>
      <c r="L16" s="1">
        <v>3.1</v>
      </c>
      <c r="M16" s="1">
        <v>1.17</v>
      </c>
      <c r="N16" s="15">
        <f t="shared" si="0"/>
        <v>15.62</v>
      </c>
      <c r="O16" s="16"/>
      <c r="P16" s="1">
        <v>1944</v>
      </c>
      <c r="Q16" s="5">
        <f t="shared" si="1"/>
        <v>4.9300000000000006</v>
      </c>
      <c r="R16" s="5">
        <f t="shared" si="2"/>
        <v>5.81</v>
      </c>
    </row>
    <row r="17" spans="1:18" x14ac:dyDescent="0.2">
      <c r="A17" s="1">
        <v>1945</v>
      </c>
      <c r="B17" s="1">
        <v>4.4000000000000004</v>
      </c>
      <c r="C17" s="1">
        <v>1.04</v>
      </c>
      <c r="D17" s="1">
        <v>1.04</v>
      </c>
      <c r="E17" s="1">
        <v>1.72</v>
      </c>
      <c r="F17" s="1">
        <v>0.06</v>
      </c>
      <c r="G17" s="1">
        <v>1.2</v>
      </c>
      <c r="H17" s="1">
        <v>1.95</v>
      </c>
      <c r="I17" s="1">
        <v>0.02</v>
      </c>
      <c r="J17" s="1">
        <v>0.19</v>
      </c>
      <c r="K17" s="1">
        <v>1.23</v>
      </c>
      <c r="L17" s="1">
        <v>2.5099999999999998</v>
      </c>
      <c r="M17" s="1">
        <v>1.32</v>
      </c>
      <c r="N17" s="15">
        <f t="shared" si="0"/>
        <v>16.68</v>
      </c>
      <c r="O17" s="16"/>
      <c r="P17" s="1">
        <v>1945</v>
      </c>
      <c r="Q17" s="5">
        <f t="shared" si="1"/>
        <v>5.0599999999999996</v>
      </c>
      <c r="R17" s="5">
        <f t="shared" si="2"/>
        <v>9.4600000000000009</v>
      </c>
    </row>
    <row r="18" spans="1:18" x14ac:dyDescent="0.2">
      <c r="A18" s="1">
        <v>1946</v>
      </c>
      <c r="B18" s="1">
        <v>0.57999999999999996</v>
      </c>
      <c r="C18" s="1">
        <v>5.0000000000000001E-3</v>
      </c>
      <c r="D18" s="1">
        <v>0.8</v>
      </c>
      <c r="E18" s="1">
        <v>0.19</v>
      </c>
      <c r="F18" s="1">
        <v>0.45</v>
      </c>
      <c r="G18" s="1">
        <v>0.8</v>
      </c>
      <c r="H18" s="1">
        <v>0.08</v>
      </c>
      <c r="I18" s="1">
        <v>0.51</v>
      </c>
      <c r="J18" s="1">
        <v>0.01</v>
      </c>
      <c r="K18" s="1">
        <v>1.77</v>
      </c>
      <c r="L18" s="1">
        <v>3.97</v>
      </c>
      <c r="M18" s="1">
        <v>0.44</v>
      </c>
      <c r="N18" s="15">
        <f t="shared" si="0"/>
        <v>9.6050000000000004</v>
      </c>
      <c r="O18" s="16"/>
      <c r="P18" s="1">
        <v>1946</v>
      </c>
      <c r="Q18" s="5">
        <f t="shared" si="1"/>
        <v>2.2450000000000001</v>
      </c>
      <c r="R18" s="5">
        <f t="shared" si="2"/>
        <v>2.8250000000000002</v>
      </c>
    </row>
    <row r="19" spans="1:18" x14ac:dyDescent="0.2">
      <c r="A19" s="1">
        <v>1947</v>
      </c>
      <c r="B19" s="1">
        <v>1.57</v>
      </c>
      <c r="C19" s="1">
        <v>0.8</v>
      </c>
      <c r="D19" s="1">
        <v>0.21</v>
      </c>
      <c r="E19" s="1">
        <v>0.32</v>
      </c>
      <c r="F19" s="1">
        <v>0.38</v>
      </c>
      <c r="G19" s="1">
        <v>0.49</v>
      </c>
      <c r="H19" s="1">
        <v>0.1</v>
      </c>
      <c r="I19" s="1">
        <v>1.8</v>
      </c>
      <c r="J19" s="1">
        <v>0.08</v>
      </c>
      <c r="K19" s="1">
        <v>0.99</v>
      </c>
      <c r="L19" s="1">
        <v>4.54</v>
      </c>
      <c r="M19" s="1">
        <v>1.37</v>
      </c>
      <c r="N19" s="15">
        <f t="shared" si="0"/>
        <v>12.650000000000002</v>
      </c>
      <c r="O19" s="16"/>
      <c r="P19" s="1">
        <v>1947</v>
      </c>
      <c r="Q19" s="5">
        <f t="shared" si="1"/>
        <v>2.2000000000000002</v>
      </c>
      <c r="R19" s="5">
        <f t="shared" si="2"/>
        <v>3.7699999999999996</v>
      </c>
    </row>
    <row r="20" spans="1:18" x14ac:dyDescent="0.2">
      <c r="A20" s="1">
        <v>1948</v>
      </c>
      <c r="B20" s="1">
        <v>0.56999999999999995</v>
      </c>
      <c r="C20" s="1">
        <v>0.74</v>
      </c>
      <c r="D20" s="1">
        <v>1.66</v>
      </c>
      <c r="E20" s="1">
        <v>0.41</v>
      </c>
      <c r="F20" s="1">
        <v>3.03</v>
      </c>
      <c r="G20" s="1">
        <v>1.5</v>
      </c>
      <c r="H20" s="1">
        <v>0.24</v>
      </c>
      <c r="I20" s="1">
        <v>1.83</v>
      </c>
      <c r="J20" s="1">
        <v>1.28</v>
      </c>
      <c r="K20" s="1">
        <v>1.52</v>
      </c>
      <c r="L20" s="1">
        <v>2.65</v>
      </c>
      <c r="M20" s="1">
        <v>1.02</v>
      </c>
      <c r="N20" s="15">
        <f t="shared" si="0"/>
        <v>16.45</v>
      </c>
      <c r="O20" s="16"/>
      <c r="P20" s="1">
        <v>1948</v>
      </c>
      <c r="Q20" s="5">
        <f t="shared" si="1"/>
        <v>7.34</v>
      </c>
      <c r="R20" s="5">
        <f t="shared" si="2"/>
        <v>7.91</v>
      </c>
    </row>
    <row r="21" spans="1:18" x14ac:dyDescent="0.2">
      <c r="A21" s="1">
        <v>1949</v>
      </c>
      <c r="B21" s="1">
        <v>1.48</v>
      </c>
      <c r="C21" s="1">
        <v>5.0000000000000001E-3</v>
      </c>
      <c r="D21" s="1">
        <v>0.2</v>
      </c>
      <c r="E21" s="1">
        <v>3.11</v>
      </c>
      <c r="F21" s="1">
        <v>0.83</v>
      </c>
      <c r="G21" s="1">
        <v>0.84</v>
      </c>
      <c r="H21" s="1">
        <v>1.29</v>
      </c>
      <c r="I21" s="1">
        <v>1.99</v>
      </c>
      <c r="J21" s="1">
        <v>2.41</v>
      </c>
      <c r="K21" s="1">
        <v>5.29</v>
      </c>
      <c r="L21" s="1">
        <v>1.06</v>
      </c>
      <c r="M21" s="1">
        <v>1.46</v>
      </c>
      <c r="N21" s="15">
        <f t="shared" si="0"/>
        <v>19.965</v>
      </c>
      <c r="O21" s="16"/>
      <c r="P21" s="1">
        <v>1949</v>
      </c>
      <c r="Q21" s="5">
        <f t="shared" si="1"/>
        <v>4.9849999999999994</v>
      </c>
      <c r="R21" s="5">
        <f t="shared" si="2"/>
        <v>6.4649999999999999</v>
      </c>
    </row>
    <row r="22" spans="1:18" x14ac:dyDescent="0.2">
      <c r="A22" s="1">
        <v>1950</v>
      </c>
      <c r="B22" s="1">
        <v>0.12</v>
      </c>
      <c r="C22" s="1">
        <v>5.0000000000000001E-3</v>
      </c>
      <c r="D22" s="1">
        <v>0.61</v>
      </c>
      <c r="E22" s="1">
        <v>0.28000000000000003</v>
      </c>
      <c r="F22" s="1">
        <v>0.47</v>
      </c>
      <c r="G22" s="1">
        <v>0.04</v>
      </c>
      <c r="H22" s="1">
        <v>0.85</v>
      </c>
      <c r="I22" s="1">
        <v>0.05</v>
      </c>
      <c r="J22" s="1">
        <v>0.68</v>
      </c>
      <c r="K22" s="1">
        <v>4.12</v>
      </c>
      <c r="L22" s="1">
        <v>1.05</v>
      </c>
      <c r="M22" s="1">
        <v>1.32</v>
      </c>
      <c r="N22" s="15">
        <f t="shared" si="0"/>
        <v>9.5950000000000006</v>
      </c>
      <c r="O22" s="16"/>
      <c r="P22" s="1">
        <v>1950</v>
      </c>
      <c r="Q22" s="5">
        <f t="shared" si="1"/>
        <v>1.405</v>
      </c>
      <c r="R22" s="5">
        <f t="shared" si="2"/>
        <v>1.5250000000000001</v>
      </c>
    </row>
    <row r="23" spans="1:18" x14ac:dyDescent="0.2">
      <c r="A23" s="1">
        <v>1951</v>
      </c>
      <c r="B23" s="1">
        <v>0.01</v>
      </c>
      <c r="C23" s="1">
        <v>0</v>
      </c>
      <c r="D23" s="1">
        <v>0.11</v>
      </c>
      <c r="E23" s="1">
        <v>0.88</v>
      </c>
      <c r="F23" s="1">
        <v>0.56999999999999995</v>
      </c>
      <c r="G23" s="1">
        <v>0.08</v>
      </c>
      <c r="H23" s="1">
        <v>0.93</v>
      </c>
      <c r="I23" s="1">
        <v>0.53</v>
      </c>
      <c r="J23" s="1">
        <v>0.08</v>
      </c>
      <c r="K23" s="1">
        <v>3.45</v>
      </c>
      <c r="L23" s="1">
        <v>4.72</v>
      </c>
      <c r="M23" s="1">
        <v>0.75</v>
      </c>
      <c r="N23" s="15">
        <f t="shared" si="0"/>
        <v>12.11</v>
      </c>
      <c r="O23" s="16"/>
      <c r="P23" s="1">
        <v>1951</v>
      </c>
      <c r="Q23" s="5">
        <f t="shared" si="1"/>
        <v>1.6400000000000001</v>
      </c>
      <c r="R23" s="5">
        <f t="shared" si="2"/>
        <v>1.65</v>
      </c>
    </row>
    <row r="24" spans="1:18" x14ac:dyDescent="0.2">
      <c r="A24" s="1">
        <v>1952</v>
      </c>
      <c r="B24" s="1">
        <v>1.24</v>
      </c>
      <c r="C24" s="1">
        <v>0.57999999999999996</v>
      </c>
      <c r="D24" s="1">
        <v>0.62</v>
      </c>
      <c r="E24" s="1">
        <v>1.36</v>
      </c>
      <c r="F24" s="1">
        <v>0.15</v>
      </c>
      <c r="G24" s="1">
        <v>0.65</v>
      </c>
      <c r="H24" s="1">
        <v>0.87</v>
      </c>
      <c r="I24" s="1">
        <v>2.25</v>
      </c>
      <c r="J24" s="1">
        <v>0.63</v>
      </c>
      <c r="K24" s="1">
        <v>3.78</v>
      </c>
      <c r="L24" s="1">
        <v>3.16</v>
      </c>
      <c r="M24" s="1">
        <v>0.84</v>
      </c>
      <c r="N24" s="15">
        <f t="shared" si="0"/>
        <v>16.13</v>
      </c>
      <c r="O24" s="16"/>
      <c r="P24" s="1">
        <v>1952</v>
      </c>
      <c r="Q24" s="5">
        <f t="shared" si="1"/>
        <v>3.36</v>
      </c>
      <c r="R24" s="5">
        <f t="shared" si="2"/>
        <v>4.5999999999999996</v>
      </c>
    </row>
    <row r="25" spans="1:18" x14ac:dyDescent="0.2">
      <c r="A25" s="1">
        <v>1953</v>
      </c>
      <c r="B25" s="1">
        <v>0</v>
      </c>
      <c r="C25" s="1">
        <v>1.68</v>
      </c>
      <c r="D25" s="1">
        <v>0.73</v>
      </c>
      <c r="E25" s="1">
        <v>0.09</v>
      </c>
      <c r="F25" s="1">
        <v>0.94</v>
      </c>
      <c r="G25" s="1">
        <v>0.74</v>
      </c>
      <c r="H25" s="1">
        <v>0.28999999999999998</v>
      </c>
      <c r="I25" s="1">
        <v>1.2</v>
      </c>
      <c r="J25" s="1">
        <v>0.76</v>
      </c>
      <c r="K25" s="1">
        <v>2.93</v>
      </c>
      <c r="L25" s="1">
        <v>1.51</v>
      </c>
      <c r="M25" s="1">
        <v>0.35</v>
      </c>
      <c r="N25" s="15">
        <f t="shared" si="0"/>
        <v>11.219999999999999</v>
      </c>
      <c r="O25" s="16"/>
      <c r="P25" s="1">
        <v>1953</v>
      </c>
      <c r="Q25" s="5">
        <f t="shared" si="1"/>
        <v>4.18</v>
      </c>
      <c r="R25" s="5">
        <f t="shared" si="2"/>
        <v>4.18</v>
      </c>
    </row>
    <row r="26" spans="1:18" x14ac:dyDescent="0.2">
      <c r="A26" s="1">
        <v>1954</v>
      </c>
      <c r="B26" s="1">
        <v>2.04</v>
      </c>
      <c r="C26" s="1">
        <v>2.56</v>
      </c>
      <c r="D26" s="1">
        <v>0.59</v>
      </c>
      <c r="E26" s="1">
        <v>0.88</v>
      </c>
      <c r="F26" s="1">
        <v>0.03</v>
      </c>
      <c r="G26" s="1">
        <v>1.41</v>
      </c>
      <c r="H26" s="1">
        <v>5.0000000000000001E-3</v>
      </c>
      <c r="I26" s="1">
        <v>2.2000000000000002</v>
      </c>
      <c r="J26" s="1">
        <v>0.11</v>
      </c>
      <c r="K26" s="1">
        <v>4</v>
      </c>
      <c r="L26" s="1">
        <v>1.73</v>
      </c>
      <c r="M26" s="1">
        <v>0.7</v>
      </c>
      <c r="N26" s="15">
        <f t="shared" si="0"/>
        <v>16.254999999999999</v>
      </c>
      <c r="O26" s="16"/>
      <c r="P26" s="1">
        <v>1954</v>
      </c>
      <c r="Q26" s="5">
        <f t="shared" si="1"/>
        <v>5.4700000000000006</v>
      </c>
      <c r="R26" s="5">
        <f t="shared" si="2"/>
        <v>7.51</v>
      </c>
    </row>
    <row r="27" spans="1:18" x14ac:dyDescent="0.2">
      <c r="A27" s="1">
        <v>1955</v>
      </c>
      <c r="B27" s="1">
        <v>0.27</v>
      </c>
      <c r="C27" s="1">
        <v>7.0000000000000007E-2</v>
      </c>
      <c r="D27" s="1">
        <v>0.38</v>
      </c>
      <c r="E27" s="1">
        <v>0.38</v>
      </c>
      <c r="F27" s="1">
        <v>0.45</v>
      </c>
      <c r="G27" s="1">
        <v>0.06</v>
      </c>
      <c r="H27" s="1">
        <v>0.41</v>
      </c>
      <c r="I27" s="1">
        <v>1.61</v>
      </c>
      <c r="J27" s="1">
        <v>0.2</v>
      </c>
      <c r="K27" s="1">
        <v>1.68</v>
      </c>
      <c r="L27" s="1">
        <v>3.04</v>
      </c>
      <c r="M27" s="1">
        <v>0.7</v>
      </c>
      <c r="N27" s="15">
        <f t="shared" si="0"/>
        <v>9.25</v>
      </c>
      <c r="O27" s="16"/>
      <c r="P27" s="1">
        <v>1955</v>
      </c>
      <c r="Q27" s="5">
        <f t="shared" si="1"/>
        <v>1.34</v>
      </c>
      <c r="R27" s="5">
        <f t="shared" si="2"/>
        <v>1.61</v>
      </c>
    </row>
    <row r="28" spans="1:18" x14ac:dyDescent="0.2">
      <c r="A28" s="1">
        <v>1956</v>
      </c>
      <c r="B28" s="1">
        <v>5.0000000000000001E-3</v>
      </c>
      <c r="C28" s="1">
        <v>0.12</v>
      </c>
      <c r="D28" s="1">
        <v>0.98</v>
      </c>
      <c r="E28" s="1">
        <v>1.17</v>
      </c>
      <c r="F28" s="1">
        <v>0.6</v>
      </c>
      <c r="G28" s="1">
        <v>0</v>
      </c>
      <c r="H28" s="1">
        <v>0.04</v>
      </c>
      <c r="I28" s="1">
        <v>0.68</v>
      </c>
      <c r="J28" s="1">
        <v>0.44</v>
      </c>
      <c r="K28" s="1">
        <v>0.7</v>
      </c>
      <c r="L28" s="1">
        <v>1.03</v>
      </c>
      <c r="M28" s="1">
        <v>0</v>
      </c>
      <c r="N28" s="15">
        <f t="shared" si="0"/>
        <v>5.7650000000000006</v>
      </c>
      <c r="O28" s="16"/>
      <c r="P28" s="1">
        <v>1956</v>
      </c>
      <c r="Q28" s="5">
        <f t="shared" si="1"/>
        <v>2.87</v>
      </c>
      <c r="R28" s="5">
        <f t="shared" si="2"/>
        <v>2.875</v>
      </c>
    </row>
    <row r="29" spans="1:18" x14ac:dyDescent="0.2">
      <c r="A29" s="1">
        <v>1957</v>
      </c>
      <c r="B29" s="1">
        <v>0.26</v>
      </c>
      <c r="C29" s="1">
        <v>0.02</v>
      </c>
      <c r="D29" s="1">
        <v>5.0000000000000001E-3</v>
      </c>
      <c r="E29" s="1">
        <v>1.17</v>
      </c>
      <c r="F29" s="1">
        <v>0.71</v>
      </c>
      <c r="G29" s="1">
        <v>1.4</v>
      </c>
      <c r="H29" s="1">
        <v>1.29</v>
      </c>
      <c r="I29" s="1">
        <v>1.05</v>
      </c>
      <c r="J29" s="1">
        <v>0.42</v>
      </c>
      <c r="K29" s="1">
        <v>3.15</v>
      </c>
      <c r="L29" s="1">
        <v>4.5</v>
      </c>
      <c r="M29" s="1">
        <v>0.06</v>
      </c>
      <c r="N29" s="15">
        <f t="shared" si="0"/>
        <v>14.035</v>
      </c>
      <c r="O29" s="16"/>
      <c r="P29" s="1">
        <v>1957</v>
      </c>
      <c r="Q29" s="5">
        <f t="shared" si="1"/>
        <v>3.3049999999999997</v>
      </c>
      <c r="R29" s="5">
        <f t="shared" si="2"/>
        <v>3.5649999999999999</v>
      </c>
    </row>
    <row r="30" spans="1:18" x14ac:dyDescent="0.2">
      <c r="A30" s="1">
        <v>1958</v>
      </c>
      <c r="B30" s="1">
        <v>4.96</v>
      </c>
      <c r="C30" s="1">
        <v>2.35</v>
      </c>
      <c r="D30" s="1">
        <v>0.16</v>
      </c>
      <c r="E30" s="1">
        <v>0.84</v>
      </c>
      <c r="F30" s="1">
        <v>0.34</v>
      </c>
      <c r="G30" s="1">
        <v>1.72</v>
      </c>
      <c r="H30" s="1">
        <v>1.5</v>
      </c>
      <c r="I30" s="1">
        <v>1.65</v>
      </c>
      <c r="J30" s="1">
        <v>0.39</v>
      </c>
      <c r="K30" s="1">
        <v>0.52</v>
      </c>
      <c r="L30" s="1">
        <v>2.36</v>
      </c>
      <c r="M30" s="1">
        <v>4.91</v>
      </c>
      <c r="N30" s="15">
        <f t="shared" si="0"/>
        <v>21.700000000000003</v>
      </c>
      <c r="O30" s="16"/>
      <c r="P30" s="1">
        <v>1958</v>
      </c>
      <c r="Q30" s="5">
        <f t="shared" si="1"/>
        <v>5.41</v>
      </c>
      <c r="R30" s="5">
        <f t="shared" si="2"/>
        <v>10.370000000000001</v>
      </c>
    </row>
    <row r="31" spans="1:18" x14ac:dyDescent="0.2">
      <c r="A31" s="1">
        <v>1959</v>
      </c>
      <c r="B31" s="1">
        <v>0.99</v>
      </c>
      <c r="C31" s="1">
        <v>0.68</v>
      </c>
      <c r="D31" s="1">
        <v>0.69</v>
      </c>
      <c r="E31" s="1">
        <v>0.14000000000000001</v>
      </c>
      <c r="F31" s="1">
        <v>0.48</v>
      </c>
      <c r="G31" s="1">
        <v>0.68</v>
      </c>
      <c r="H31" s="1">
        <v>1.01</v>
      </c>
      <c r="I31" s="1">
        <v>1.93</v>
      </c>
      <c r="J31" s="1">
        <v>2.36</v>
      </c>
      <c r="K31" s="1">
        <v>2.25</v>
      </c>
      <c r="L31" s="1">
        <v>6.48</v>
      </c>
      <c r="M31" s="1">
        <v>0.16</v>
      </c>
      <c r="N31" s="15">
        <f t="shared" si="0"/>
        <v>17.849999999999998</v>
      </c>
      <c r="O31" s="16"/>
      <c r="P31" s="1">
        <v>1959</v>
      </c>
      <c r="Q31" s="5">
        <f t="shared" si="1"/>
        <v>2.6700000000000004</v>
      </c>
      <c r="R31" s="5">
        <f t="shared" si="2"/>
        <v>3.66</v>
      </c>
    </row>
    <row r="32" spans="1:18" x14ac:dyDescent="0.2">
      <c r="A32" s="1">
        <v>1960</v>
      </c>
      <c r="B32" s="1">
        <v>3.31</v>
      </c>
      <c r="C32" s="1">
        <v>0.47</v>
      </c>
      <c r="D32" s="1">
        <v>1.2</v>
      </c>
      <c r="E32" s="1">
        <v>1.36</v>
      </c>
      <c r="F32" s="1">
        <v>1.42</v>
      </c>
      <c r="G32" s="1">
        <v>1.21</v>
      </c>
      <c r="H32" s="1">
        <v>5.0000000000000001E-3</v>
      </c>
      <c r="I32" s="1">
        <v>0.48</v>
      </c>
      <c r="J32" s="1">
        <v>0.94</v>
      </c>
      <c r="K32" s="1">
        <v>2.5</v>
      </c>
      <c r="L32" s="1">
        <v>1.72</v>
      </c>
      <c r="M32" s="1">
        <v>2.34</v>
      </c>
      <c r="N32" s="15">
        <f t="shared" si="0"/>
        <v>16.955000000000002</v>
      </c>
      <c r="O32" s="16"/>
      <c r="P32" s="1">
        <v>1960</v>
      </c>
      <c r="Q32" s="5">
        <f t="shared" si="1"/>
        <v>5.66</v>
      </c>
      <c r="R32" s="5">
        <f t="shared" si="2"/>
        <v>8.9700000000000006</v>
      </c>
    </row>
    <row r="33" spans="1:18" x14ac:dyDescent="0.2">
      <c r="A33" s="1">
        <v>1961</v>
      </c>
      <c r="B33" s="1">
        <v>3.5</v>
      </c>
      <c r="C33" s="1">
        <v>0.56000000000000005</v>
      </c>
      <c r="D33" s="1">
        <v>1.23</v>
      </c>
      <c r="E33" s="1">
        <v>0.95</v>
      </c>
      <c r="F33" s="1">
        <v>0.48</v>
      </c>
      <c r="G33" s="1">
        <v>1.42</v>
      </c>
      <c r="H33" s="1">
        <v>1.03</v>
      </c>
      <c r="I33" s="1">
        <v>0.01</v>
      </c>
      <c r="J33" s="1">
        <v>0.4</v>
      </c>
      <c r="K33" s="1">
        <v>1.36</v>
      </c>
      <c r="L33" s="1">
        <v>5.01</v>
      </c>
      <c r="M33" s="1">
        <v>1.07</v>
      </c>
      <c r="N33" s="15">
        <f t="shared" si="0"/>
        <v>17.02</v>
      </c>
      <c r="O33" s="16"/>
      <c r="P33" s="1">
        <v>1961</v>
      </c>
      <c r="Q33" s="5">
        <f t="shared" si="1"/>
        <v>4.6400000000000006</v>
      </c>
      <c r="R33" s="5">
        <f t="shared" si="2"/>
        <v>8.14</v>
      </c>
    </row>
    <row r="34" spans="1:18" x14ac:dyDescent="0.2">
      <c r="A34" s="1">
        <v>1962</v>
      </c>
      <c r="B34" s="1">
        <v>1.26</v>
      </c>
      <c r="C34" s="1">
        <v>0.78</v>
      </c>
      <c r="D34" s="1">
        <v>1.86</v>
      </c>
      <c r="E34" s="1">
        <v>0.71</v>
      </c>
      <c r="F34" s="1">
        <v>0.13</v>
      </c>
      <c r="G34" s="1">
        <v>0.14000000000000001</v>
      </c>
      <c r="H34" s="1">
        <v>0.41</v>
      </c>
      <c r="I34" s="1">
        <v>0.17</v>
      </c>
      <c r="J34" s="1">
        <v>0.37</v>
      </c>
      <c r="K34" s="1">
        <v>3.54</v>
      </c>
      <c r="L34" s="1">
        <v>0.35</v>
      </c>
      <c r="M34" s="1">
        <v>2</v>
      </c>
      <c r="N34" s="15">
        <f t="shared" si="0"/>
        <v>11.72</v>
      </c>
      <c r="O34" s="16"/>
      <c r="P34" s="1">
        <v>1962</v>
      </c>
      <c r="Q34" s="5">
        <f t="shared" si="1"/>
        <v>3.62</v>
      </c>
      <c r="R34" s="5">
        <f t="shared" si="2"/>
        <v>4.88</v>
      </c>
    </row>
    <row r="35" spans="1:18" x14ac:dyDescent="0.2">
      <c r="A35" s="1">
        <v>1963</v>
      </c>
      <c r="B35" s="1">
        <v>1.51</v>
      </c>
      <c r="C35" s="1">
        <v>1.66</v>
      </c>
      <c r="D35" s="1">
        <v>1.38</v>
      </c>
      <c r="E35" s="1">
        <v>1.47</v>
      </c>
      <c r="F35" s="1">
        <v>1.75</v>
      </c>
      <c r="G35" s="1">
        <v>0.62</v>
      </c>
      <c r="H35" s="1">
        <v>0.24</v>
      </c>
      <c r="I35" s="1">
        <v>0.13</v>
      </c>
      <c r="J35" s="1">
        <v>1.56</v>
      </c>
      <c r="K35" s="1">
        <v>1.28</v>
      </c>
      <c r="L35" s="1">
        <v>3</v>
      </c>
      <c r="M35" s="1">
        <v>2.02</v>
      </c>
      <c r="N35" s="15">
        <f t="shared" si="0"/>
        <v>16.62</v>
      </c>
      <c r="O35" s="16"/>
      <c r="P35" s="1">
        <v>1963</v>
      </c>
      <c r="Q35" s="5">
        <f t="shared" si="1"/>
        <v>6.88</v>
      </c>
      <c r="R35" s="5">
        <f t="shared" si="2"/>
        <v>8.3899999999999988</v>
      </c>
    </row>
    <row r="36" spans="1:18" x14ac:dyDescent="0.2">
      <c r="A36" s="1">
        <v>1964</v>
      </c>
      <c r="B36" s="1">
        <v>1.32</v>
      </c>
      <c r="C36" s="1">
        <v>0.52</v>
      </c>
      <c r="D36" s="1">
        <v>0.04</v>
      </c>
      <c r="E36" s="1">
        <v>0.04</v>
      </c>
      <c r="F36" s="1">
        <v>1.07</v>
      </c>
      <c r="G36" s="1">
        <v>0.55000000000000004</v>
      </c>
      <c r="H36" s="1">
        <v>0.6</v>
      </c>
      <c r="I36" s="1">
        <v>0.71</v>
      </c>
      <c r="J36" s="1">
        <v>0.6</v>
      </c>
      <c r="K36" s="1">
        <v>2.25</v>
      </c>
      <c r="L36" s="1">
        <v>2.37</v>
      </c>
      <c r="M36" s="1">
        <v>2.04</v>
      </c>
      <c r="N36" s="15">
        <f t="shared" si="0"/>
        <v>12.11</v>
      </c>
      <c r="O36" s="16"/>
      <c r="P36" s="1">
        <v>1964</v>
      </c>
      <c r="Q36" s="5">
        <f t="shared" si="1"/>
        <v>2.2200000000000002</v>
      </c>
      <c r="R36" s="5">
        <f t="shared" si="2"/>
        <v>3.54</v>
      </c>
    </row>
    <row r="37" spans="1:18" x14ac:dyDescent="0.2">
      <c r="A37" s="1">
        <v>1965</v>
      </c>
      <c r="B37" s="1">
        <v>0.12</v>
      </c>
      <c r="C37" s="1">
        <v>0.68</v>
      </c>
      <c r="D37" s="1">
        <v>0.49</v>
      </c>
      <c r="E37" s="1">
        <v>1.18</v>
      </c>
      <c r="F37" s="1">
        <v>1.05</v>
      </c>
      <c r="G37" s="1">
        <v>0.61</v>
      </c>
      <c r="H37" s="1">
        <v>1.56</v>
      </c>
      <c r="I37" s="1">
        <v>1.77</v>
      </c>
      <c r="J37" s="1">
        <v>5.75</v>
      </c>
      <c r="K37" s="1">
        <v>1.76</v>
      </c>
      <c r="L37" s="1">
        <v>3.49</v>
      </c>
      <c r="M37" s="1">
        <v>2.64</v>
      </c>
      <c r="N37" s="15">
        <f t="shared" si="0"/>
        <v>21.1</v>
      </c>
      <c r="O37" s="16"/>
      <c r="P37" s="1">
        <v>1965</v>
      </c>
      <c r="Q37" s="5">
        <f t="shared" si="1"/>
        <v>4.01</v>
      </c>
      <c r="R37" s="5">
        <f t="shared" si="2"/>
        <v>4.13</v>
      </c>
    </row>
    <row r="38" spans="1:18" x14ac:dyDescent="0.2">
      <c r="A38" s="1">
        <v>1966</v>
      </c>
      <c r="B38" s="1">
        <v>1.57</v>
      </c>
      <c r="C38" s="1">
        <v>0.47</v>
      </c>
      <c r="D38" s="1">
        <v>2.61</v>
      </c>
      <c r="E38" s="1">
        <v>0.4</v>
      </c>
      <c r="F38" s="1">
        <v>0.57999999999999996</v>
      </c>
      <c r="G38" s="1">
        <v>0</v>
      </c>
      <c r="H38" s="1">
        <v>5.0000000000000001E-3</v>
      </c>
      <c r="I38" s="1">
        <v>7.0000000000000007E-2</v>
      </c>
      <c r="J38" s="1">
        <v>2.88</v>
      </c>
      <c r="K38" s="1">
        <v>1.98</v>
      </c>
      <c r="L38" s="1">
        <v>3.61</v>
      </c>
      <c r="M38" s="1">
        <v>0.81</v>
      </c>
      <c r="N38" s="15">
        <f t="shared" si="0"/>
        <v>14.985000000000001</v>
      </c>
      <c r="O38" s="16"/>
      <c r="P38" s="1">
        <v>1966</v>
      </c>
      <c r="Q38" s="5">
        <f t="shared" si="1"/>
        <v>4.0599999999999996</v>
      </c>
      <c r="R38" s="5">
        <f t="shared" si="2"/>
        <v>5.6300000000000008</v>
      </c>
    </row>
    <row r="39" spans="1:18" x14ac:dyDescent="0.2">
      <c r="A39" s="1">
        <v>1967</v>
      </c>
      <c r="B39" s="1">
        <v>0.25</v>
      </c>
      <c r="C39" s="1">
        <v>0.19</v>
      </c>
      <c r="D39" s="1">
        <v>0.64</v>
      </c>
      <c r="E39" s="1">
        <v>5.0000000000000001E-3</v>
      </c>
      <c r="F39" s="1">
        <v>0.42</v>
      </c>
      <c r="G39" s="1">
        <v>0.56999999999999995</v>
      </c>
      <c r="H39" s="1">
        <v>0</v>
      </c>
      <c r="I39" s="1">
        <v>0.97</v>
      </c>
      <c r="J39" s="1">
        <v>1.8</v>
      </c>
      <c r="K39" s="1">
        <v>3.77</v>
      </c>
      <c r="L39" s="1">
        <v>5.96</v>
      </c>
      <c r="M39" s="1">
        <v>1.9</v>
      </c>
      <c r="N39" s="15">
        <f t="shared" si="0"/>
        <v>16.474999999999998</v>
      </c>
      <c r="O39" s="16"/>
      <c r="P39" s="1">
        <v>1967</v>
      </c>
      <c r="Q39" s="5">
        <f t="shared" si="1"/>
        <v>1.8250000000000002</v>
      </c>
      <c r="R39" s="5">
        <f t="shared" si="2"/>
        <v>2.0749999999999997</v>
      </c>
    </row>
    <row r="40" spans="1:18" x14ac:dyDescent="0.2">
      <c r="A40" s="1">
        <v>1968</v>
      </c>
      <c r="B40" s="1">
        <v>0.1</v>
      </c>
      <c r="C40" s="1">
        <v>0.18</v>
      </c>
      <c r="D40" s="1">
        <v>2.59</v>
      </c>
      <c r="E40" s="1">
        <v>0.15</v>
      </c>
      <c r="F40" s="1">
        <v>1.38</v>
      </c>
      <c r="G40" s="1">
        <v>1.28</v>
      </c>
      <c r="H40" s="1">
        <v>0.79</v>
      </c>
      <c r="I40" s="1">
        <v>1.92</v>
      </c>
      <c r="J40" s="1">
        <v>5.0000000000000001E-3</v>
      </c>
      <c r="K40" s="1">
        <v>3.54</v>
      </c>
      <c r="L40" s="1">
        <v>4.6100000000000003</v>
      </c>
      <c r="M40" s="1">
        <v>0.3</v>
      </c>
      <c r="N40" s="15">
        <f t="shared" si="0"/>
        <v>16.845000000000002</v>
      </c>
      <c r="O40" s="16"/>
      <c r="P40" s="1">
        <v>1968</v>
      </c>
      <c r="Q40" s="5">
        <f t="shared" si="1"/>
        <v>5.58</v>
      </c>
      <c r="R40" s="5">
        <f t="shared" si="2"/>
        <v>5.6800000000000006</v>
      </c>
    </row>
    <row r="41" spans="1:18" x14ac:dyDescent="0.2">
      <c r="A41" s="1">
        <v>1969</v>
      </c>
      <c r="B41" s="1">
        <v>0.38</v>
      </c>
      <c r="C41" s="1">
        <v>0.76</v>
      </c>
      <c r="D41" s="1">
        <v>1.01</v>
      </c>
      <c r="E41" s="1">
        <v>0.49</v>
      </c>
      <c r="F41" s="1">
        <v>1.75</v>
      </c>
      <c r="G41" s="1">
        <v>0.15</v>
      </c>
      <c r="H41" s="1">
        <v>1.18</v>
      </c>
      <c r="I41" s="1">
        <v>2.46</v>
      </c>
      <c r="J41" s="1">
        <v>4.9000000000000004</v>
      </c>
      <c r="K41" s="1">
        <v>2.39</v>
      </c>
      <c r="L41" s="1">
        <v>4.12</v>
      </c>
      <c r="M41" s="1">
        <v>2.23</v>
      </c>
      <c r="N41" s="15">
        <f t="shared" si="0"/>
        <v>21.82</v>
      </c>
      <c r="O41" s="16"/>
      <c r="P41" s="1">
        <v>1969</v>
      </c>
      <c r="Q41" s="5">
        <f t="shared" si="1"/>
        <v>4.16</v>
      </c>
      <c r="R41" s="5">
        <f t="shared" si="2"/>
        <v>4.5400000000000009</v>
      </c>
    </row>
    <row r="42" spans="1:18" x14ac:dyDescent="0.2">
      <c r="A42" s="1">
        <v>1970</v>
      </c>
      <c r="B42" s="1">
        <v>2.93</v>
      </c>
      <c r="C42" s="1">
        <v>0.22</v>
      </c>
      <c r="D42" s="1">
        <v>1.32</v>
      </c>
      <c r="E42" s="1">
        <v>5.0000000000000001E-3</v>
      </c>
      <c r="F42" s="1">
        <v>0.4</v>
      </c>
      <c r="G42" s="1">
        <v>2.0699999999999998</v>
      </c>
      <c r="H42" s="1">
        <v>0.54</v>
      </c>
      <c r="I42" s="22" t="s">
        <v>13</v>
      </c>
      <c r="J42" s="1">
        <v>0.63</v>
      </c>
      <c r="K42" s="1">
        <v>3.12</v>
      </c>
      <c r="L42" s="1">
        <v>2.48</v>
      </c>
      <c r="M42" s="1">
        <v>0.76</v>
      </c>
      <c r="N42" s="15">
        <f t="shared" si="0"/>
        <v>14.475</v>
      </c>
      <c r="O42" s="16">
        <v>-1</v>
      </c>
      <c r="P42" s="1">
        <v>1970</v>
      </c>
      <c r="Q42" s="5">
        <f t="shared" si="1"/>
        <v>4.0149999999999997</v>
      </c>
      <c r="R42" s="5">
        <f t="shared" si="2"/>
        <v>6.9450000000000003</v>
      </c>
    </row>
    <row r="43" spans="1:18" x14ac:dyDescent="0.2">
      <c r="A43" s="1">
        <v>1971</v>
      </c>
      <c r="B43" s="1">
        <v>0.74</v>
      </c>
      <c r="C43" s="1">
        <v>0.05</v>
      </c>
      <c r="D43" s="1">
        <v>0.05</v>
      </c>
      <c r="E43" s="1">
        <v>1.1599999999999999</v>
      </c>
      <c r="F43" s="1">
        <v>0.17</v>
      </c>
      <c r="G43" s="1">
        <v>0.41</v>
      </c>
      <c r="H43" s="1">
        <v>1.1100000000000001</v>
      </c>
      <c r="I43" s="1">
        <v>0.72</v>
      </c>
      <c r="J43" s="1">
        <v>0.39</v>
      </c>
      <c r="K43" s="1">
        <v>2.71</v>
      </c>
      <c r="L43" s="1">
        <v>2.98</v>
      </c>
      <c r="M43" s="1">
        <v>2.14</v>
      </c>
      <c r="N43" s="15">
        <f t="shared" si="0"/>
        <v>12.63</v>
      </c>
      <c r="O43" s="16"/>
      <c r="P43" s="1">
        <v>1971</v>
      </c>
      <c r="Q43" s="5">
        <f t="shared" si="1"/>
        <v>1.8399999999999999</v>
      </c>
      <c r="R43" s="5">
        <f t="shared" si="2"/>
        <v>2.58</v>
      </c>
    </row>
    <row r="44" spans="1:18" x14ac:dyDescent="0.2">
      <c r="A44" s="1">
        <v>1972</v>
      </c>
      <c r="B44" s="1">
        <v>2.6</v>
      </c>
      <c r="C44" s="1">
        <v>1.23</v>
      </c>
      <c r="D44" s="1">
        <v>2.36</v>
      </c>
      <c r="E44" s="1">
        <v>0.65</v>
      </c>
      <c r="F44" s="1">
        <v>0.02</v>
      </c>
      <c r="G44" s="1">
        <v>5.0000000000000001E-3</v>
      </c>
      <c r="H44" s="1">
        <v>0</v>
      </c>
      <c r="I44" s="1">
        <v>1.28</v>
      </c>
      <c r="J44" s="1">
        <v>0.43</v>
      </c>
      <c r="K44" s="1">
        <v>2.37</v>
      </c>
      <c r="L44" s="1">
        <v>3.02</v>
      </c>
      <c r="M44" s="1">
        <v>4.5199999999999996</v>
      </c>
      <c r="N44" s="15">
        <f t="shared" si="0"/>
        <v>18.484999999999999</v>
      </c>
      <c r="O44" s="16"/>
      <c r="P44" s="1">
        <v>1972</v>
      </c>
      <c r="Q44" s="5">
        <f t="shared" si="1"/>
        <v>4.2649999999999997</v>
      </c>
      <c r="R44" s="5">
        <f t="shared" si="2"/>
        <v>6.8649999999999993</v>
      </c>
    </row>
    <row r="45" spans="1:18" x14ac:dyDescent="0.2">
      <c r="A45" s="1">
        <v>1973</v>
      </c>
      <c r="B45" s="1">
        <v>4.03</v>
      </c>
      <c r="C45" s="1">
        <v>1.28</v>
      </c>
      <c r="D45" s="1">
        <v>0.44</v>
      </c>
      <c r="E45" s="1">
        <v>0.63</v>
      </c>
      <c r="F45" s="1">
        <v>0.93</v>
      </c>
      <c r="G45" s="1">
        <v>1.73</v>
      </c>
      <c r="H45" s="1">
        <v>0.43</v>
      </c>
      <c r="I45" s="1">
        <v>1.22</v>
      </c>
      <c r="J45" s="1">
        <v>0.98</v>
      </c>
      <c r="K45" s="1">
        <v>3.7</v>
      </c>
      <c r="L45" s="1">
        <v>2.65</v>
      </c>
      <c r="M45" s="1">
        <v>2.56</v>
      </c>
      <c r="N45" s="15">
        <f t="shared" si="0"/>
        <v>20.58</v>
      </c>
      <c r="O45" s="16"/>
      <c r="P45" s="1">
        <v>1973</v>
      </c>
      <c r="Q45" s="5">
        <f t="shared" si="1"/>
        <v>5.01</v>
      </c>
      <c r="R45" s="5">
        <f t="shared" si="2"/>
        <v>9.0400000000000009</v>
      </c>
    </row>
    <row r="46" spans="1:18" x14ac:dyDescent="0.2">
      <c r="A46" s="1">
        <v>1974</v>
      </c>
      <c r="B46" s="1">
        <v>0.98</v>
      </c>
      <c r="C46" s="1">
        <v>0.21</v>
      </c>
      <c r="D46" s="1">
        <v>0</v>
      </c>
      <c r="E46" s="1">
        <v>2.82</v>
      </c>
      <c r="F46" s="1">
        <v>0.51</v>
      </c>
      <c r="G46" s="1">
        <v>1.1299999999999999</v>
      </c>
      <c r="H46" s="1">
        <v>0.22</v>
      </c>
      <c r="I46" s="1">
        <v>0.3</v>
      </c>
      <c r="J46" s="1">
        <v>0.48</v>
      </c>
      <c r="K46" s="1">
        <v>2.2000000000000002</v>
      </c>
      <c r="L46" s="1">
        <v>2.31</v>
      </c>
      <c r="M46" s="1">
        <v>1.04</v>
      </c>
      <c r="N46" s="15">
        <f t="shared" si="0"/>
        <v>12.2</v>
      </c>
      <c r="O46" s="16"/>
      <c r="P46" s="1">
        <v>1974</v>
      </c>
      <c r="Q46" s="5">
        <f t="shared" si="1"/>
        <v>4.67</v>
      </c>
      <c r="R46" s="5">
        <f t="shared" si="2"/>
        <v>5.6499999999999995</v>
      </c>
    </row>
    <row r="47" spans="1:18" x14ac:dyDescent="0.2">
      <c r="A47" s="1">
        <v>1975</v>
      </c>
      <c r="B47" s="1">
        <v>3.13</v>
      </c>
      <c r="C47" s="1">
        <v>0.39</v>
      </c>
      <c r="D47" s="1">
        <v>0.8</v>
      </c>
      <c r="E47" s="1">
        <v>0.84</v>
      </c>
      <c r="F47" s="1">
        <v>2.2999999999999998</v>
      </c>
      <c r="G47" s="1">
        <v>1.31</v>
      </c>
      <c r="H47" s="1">
        <v>0.85</v>
      </c>
      <c r="I47" s="1">
        <v>0.24</v>
      </c>
      <c r="J47" s="1">
        <v>0.65</v>
      </c>
      <c r="K47" s="1">
        <v>3.53</v>
      </c>
      <c r="L47" s="1">
        <v>1.18</v>
      </c>
      <c r="M47" s="1">
        <v>3.48</v>
      </c>
      <c r="N47" s="15">
        <f t="shared" ref="N47:N63" si="3">SUM(B47:M47)</f>
        <v>18.7</v>
      </c>
      <c r="O47" s="16"/>
      <c r="P47" s="1">
        <v>1975</v>
      </c>
      <c r="Q47" s="5">
        <f t="shared" si="1"/>
        <v>5.6400000000000006</v>
      </c>
      <c r="R47" s="5">
        <f t="shared" si="2"/>
        <v>8.77</v>
      </c>
    </row>
    <row r="48" spans="1:18" x14ac:dyDescent="0.2">
      <c r="A48" s="1">
        <v>1976</v>
      </c>
      <c r="B48" s="1">
        <v>0</v>
      </c>
      <c r="C48" s="1">
        <v>0.63</v>
      </c>
      <c r="D48" s="1">
        <v>0.32</v>
      </c>
      <c r="E48" s="22" t="s">
        <v>13</v>
      </c>
      <c r="F48" s="22" t="s">
        <v>13</v>
      </c>
      <c r="G48" s="22" t="s">
        <v>13</v>
      </c>
      <c r="H48" s="22" t="s">
        <v>13</v>
      </c>
      <c r="I48" s="1">
        <v>1.19</v>
      </c>
      <c r="J48" s="1">
        <v>0.14000000000000001</v>
      </c>
      <c r="K48" s="1">
        <v>2.27</v>
      </c>
      <c r="L48" s="1">
        <v>4.07</v>
      </c>
      <c r="M48" s="1">
        <v>2.57</v>
      </c>
      <c r="N48" s="15">
        <f t="shared" si="3"/>
        <v>11.190000000000001</v>
      </c>
      <c r="O48" s="16">
        <v>-4</v>
      </c>
      <c r="P48" s="1">
        <v>1976</v>
      </c>
      <c r="Q48" s="5">
        <v>0</v>
      </c>
      <c r="R48" s="5">
        <v>0</v>
      </c>
    </row>
    <row r="49" spans="1:18" x14ac:dyDescent="0.2">
      <c r="A49" s="1">
        <v>1977</v>
      </c>
      <c r="B49" s="1">
        <v>0.01</v>
      </c>
      <c r="C49" s="22" t="s">
        <v>13</v>
      </c>
      <c r="D49" s="1">
        <v>0.09</v>
      </c>
      <c r="E49" s="22" t="s">
        <v>13</v>
      </c>
      <c r="F49" s="22" t="s">
        <v>13</v>
      </c>
      <c r="G49" s="22" t="s">
        <v>13</v>
      </c>
      <c r="H49" s="1">
        <v>1.3</v>
      </c>
      <c r="I49" s="1">
        <v>0.57999999999999996</v>
      </c>
      <c r="J49" s="1">
        <v>0.59</v>
      </c>
      <c r="K49" s="1">
        <v>3.84</v>
      </c>
      <c r="L49" s="1">
        <v>4.47</v>
      </c>
      <c r="M49" s="22" t="s">
        <v>13</v>
      </c>
      <c r="N49" s="15">
        <f t="shared" si="3"/>
        <v>10.879999999999999</v>
      </c>
      <c r="O49" s="16">
        <v>-5</v>
      </c>
      <c r="P49" s="1">
        <v>1977</v>
      </c>
      <c r="Q49" s="5">
        <v>0</v>
      </c>
      <c r="R49" s="5">
        <v>0</v>
      </c>
    </row>
    <row r="50" spans="1:18" x14ac:dyDescent="0.2">
      <c r="A50" s="1">
        <v>1978</v>
      </c>
      <c r="B50" s="1">
        <v>0.97</v>
      </c>
      <c r="C50" s="1">
        <v>1.55</v>
      </c>
      <c r="D50" s="1">
        <v>0.01</v>
      </c>
      <c r="E50" s="22" t="s">
        <v>13</v>
      </c>
      <c r="F50" s="1">
        <v>0.08</v>
      </c>
      <c r="G50" s="1">
        <v>2.12</v>
      </c>
      <c r="H50" s="1">
        <v>0.21</v>
      </c>
      <c r="I50" s="1">
        <v>2.69</v>
      </c>
      <c r="J50" s="1">
        <v>1.08</v>
      </c>
      <c r="K50" s="1">
        <v>1.52</v>
      </c>
      <c r="L50" s="1">
        <v>0.75</v>
      </c>
      <c r="M50" s="1">
        <v>1.52</v>
      </c>
      <c r="N50" s="15">
        <f t="shared" si="3"/>
        <v>12.5</v>
      </c>
      <c r="O50" s="16">
        <v>-1</v>
      </c>
      <c r="P50" s="1">
        <v>1978</v>
      </c>
      <c r="Q50" s="5">
        <f t="shared" si="1"/>
        <v>3.7600000000000002</v>
      </c>
      <c r="R50" s="5">
        <f t="shared" si="2"/>
        <v>4.7300000000000004</v>
      </c>
    </row>
    <row r="51" spans="1:18" x14ac:dyDescent="0.2">
      <c r="A51" s="1">
        <v>1979</v>
      </c>
      <c r="B51" s="1">
        <v>1.3</v>
      </c>
      <c r="C51" s="1">
        <v>6.43</v>
      </c>
      <c r="D51" s="1">
        <v>1.6</v>
      </c>
      <c r="E51" s="1">
        <v>2.86</v>
      </c>
      <c r="F51" s="1">
        <v>0.66</v>
      </c>
      <c r="G51" s="1">
        <v>0.88</v>
      </c>
      <c r="H51" s="1">
        <v>0.73</v>
      </c>
      <c r="I51" s="1">
        <v>3.54</v>
      </c>
      <c r="J51" s="1">
        <v>3.07</v>
      </c>
      <c r="K51" s="1">
        <v>0.42</v>
      </c>
      <c r="L51" s="1">
        <v>2.67</v>
      </c>
      <c r="M51" s="1">
        <v>0.18</v>
      </c>
      <c r="N51" s="15">
        <f t="shared" si="3"/>
        <v>24.340000000000003</v>
      </c>
      <c r="O51" s="16"/>
      <c r="P51" s="1">
        <v>1979</v>
      </c>
      <c r="Q51" s="5">
        <f t="shared" si="1"/>
        <v>12.43</v>
      </c>
      <c r="R51" s="5">
        <f t="shared" si="2"/>
        <v>13.73</v>
      </c>
    </row>
    <row r="52" spans="1:18" x14ac:dyDescent="0.2">
      <c r="A52" s="1">
        <v>1980</v>
      </c>
      <c r="B52" s="1">
        <v>0.18</v>
      </c>
      <c r="C52" s="1">
        <v>1.03</v>
      </c>
      <c r="D52" s="1">
        <v>0.8</v>
      </c>
      <c r="E52" s="1">
        <v>1.06</v>
      </c>
      <c r="F52" s="1">
        <v>1.04</v>
      </c>
      <c r="G52" s="1">
        <v>0.96</v>
      </c>
      <c r="H52" s="1">
        <v>1.36</v>
      </c>
      <c r="I52" s="1">
        <v>1.1100000000000001</v>
      </c>
      <c r="J52" s="1">
        <v>0.01</v>
      </c>
      <c r="K52" s="1">
        <v>0.69</v>
      </c>
      <c r="L52" s="1">
        <v>2.1</v>
      </c>
      <c r="M52" s="1">
        <v>1.43</v>
      </c>
      <c r="N52" s="15">
        <f t="shared" si="3"/>
        <v>11.77</v>
      </c>
      <c r="O52" s="16"/>
      <c r="P52" s="1">
        <v>1980</v>
      </c>
      <c r="Q52" s="5">
        <f t="shared" si="1"/>
        <v>4.8900000000000006</v>
      </c>
      <c r="R52" s="5">
        <f t="shared" si="2"/>
        <v>5.0699999999999994</v>
      </c>
    </row>
    <row r="53" spans="1:18" x14ac:dyDescent="0.2">
      <c r="A53" s="1">
        <v>1981</v>
      </c>
      <c r="B53" s="1">
        <v>1.0900000000000001</v>
      </c>
      <c r="C53" s="1">
        <v>2.14</v>
      </c>
      <c r="D53" s="1">
        <v>0.77</v>
      </c>
      <c r="E53" s="1">
        <v>0.2</v>
      </c>
      <c r="F53" s="1">
        <v>7.0000000000000007E-2</v>
      </c>
      <c r="G53" s="1">
        <v>1.9</v>
      </c>
      <c r="H53" s="1">
        <v>1.37</v>
      </c>
      <c r="I53" s="1">
        <v>2.37</v>
      </c>
      <c r="J53" s="1">
        <v>1.27</v>
      </c>
      <c r="K53" s="1">
        <v>1.76</v>
      </c>
      <c r="L53" s="1">
        <v>1.69</v>
      </c>
      <c r="M53" s="1">
        <v>2.42</v>
      </c>
      <c r="N53" s="15">
        <f t="shared" si="3"/>
        <v>17.049999999999997</v>
      </c>
      <c r="O53" s="16"/>
      <c r="P53" s="1">
        <v>1981</v>
      </c>
      <c r="Q53" s="5">
        <f t="shared" si="1"/>
        <v>5.08</v>
      </c>
      <c r="R53" s="5">
        <f t="shared" si="2"/>
        <v>6.17</v>
      </c>
    </row>
    <row r="54" spans="1:18" x14ac:dyDescent="0.2">
      <c r="A54" s="1">
        <v>1982</v>
      </c>
      <c r="B54" s="1">
        <v>1.28</v>
      </c>
      <c r="C54" s="1">
        <v>0.72</v>
      </c>
      <c r="D54" s="1">
        <v>0.01</v>
      </c>
      <c r="E54" s="1">
        <v>1.17</v>
      </c>
      <c r="F54" s="1">
        <v>1.68</v>
      </c>
      <c r="G54" s="1">
        <v>1.08</v>
      </c>
      <c r="H54" s="1">
        <v>0.23</v>
      </c>
      <c r="I54" s="1">
        <v>1.54</v>
      </c>
      <c r="J54" s="1">
        <v>0.38</v>
      </c>
      <c r="K54" s="1">
        <v>3.12</v>
      </c>
      <c r="L54" s="1">
        <v>3.79</v>
      </c>
      <c r="M54" s="1">
        <v>3.24</v>
      </c>
      <c r="N54" s="15">
        <f t="shared" si="3"/>
        <v>18.240000000000002</v>
      </c>
      <c r="O54" s="16"/>
      <c r="P54" s="1">
        <v>1982</v>
      </c>
      <c r="Q54" s="5">
        <f t="shared" si="1"/>
        <v>4.66</v>
      </c>
      <c r="R54" s="5">
        <f t="shared" si="2"/>
        <v>5.9399999999999995</v>
      </c>
    </row>
    <row r="55" spans="1:18" x14ac:dyDescent="0.2">
      <c r="A55" s="1">
        <v>1983</v>
      </c>
      <c r="B55" s="1">
        <v>0.6</v>
      </c>
      <c r="C55" s="1">
        <v>2.08</v>
      </c>
      <c r="D55" s="1">
        <v>1.77</v>
      </c>
      <c r="E55" s="1">
        <v>1.01</v>
      </c>
      <c r="F55" s="1">
        <v>1.29</v>
      </c>
      <c r="G55" s="1">
        <v>1.47</v>
      </c>
      <c r="H55" s="1">
        <v>1.0900000000000001</v>
      </c>
      <c r="I55" s="1">
        <v>0.5</v>
      </c>
      <c r="J55" s="1">
        <v>0.84</v>
      </c>
      <c r="K55" s="1">
        <v>2.39</v>
      </c>
      <c r="L55" s="1">
        <v>3.44</v>
      </c>
      <c r="M55" s="1">
        <v>0.95</v>
      </c>
      <c r="N55" s="15">
        <f t="shared" si="3"/>
        <v>17.43</v>
      </c>
      <c r="O55" s="16"/>
      <c r="P55" s="1">
        <v>1983</v>
      </c>
      <c r="Q55" s="5">
        <f t="shared" si="1"/>
        <v>7.62</v>
      </c>
      <c r="R55" s="5">
        <f t="shared" si="2"/>
        <v>8.2200000000000006</v>
      </c>
    </row>
    <row r="56" spans="1:18" x14ac:dyDescent="0.2">
      <c r="A56" s="1">
        <v>1984</v>
      </c>
      <c r="B56" s="1">
        <v>1.1100000000000001</v>
      </c>
      <c r="C56" s="1">
        <v>0.51</v>
      </c>
      <c r="D56" s="1">
        <v>1.0900000000000001</v>
      </c>
      <c r="E56" s="1">
        <v>0.88</v>
      </c>
      <c r="F56" s="1">
        <v>0.03</v>
      </c>
      <c r="G56" s="1">
        <v>1.63</v>
      </c>
      <c r="H56" s="1">
        <v>0.38</v>
      </c>
      <c r="I56" s="1">
        <v>0.32</v>
      </c>
      <c r="J56" s="1">
        <v>1.41</v>
      </c>
      <c r="K56" s="1">
        <v>1.51</v>
      </c>
      <c r="L56" s="1">
        <v>3.68</v>
      </c>
      <c r="M56" s="1">
        <v>0.85</v>
      </c>
      <c r="N56" s="15">
        <f t="shared" si="3"/>
        <v>13.4</v>
      </c>
      <c r="O56" s="16"/>
      <c r="P56" s="1">
        <v>1984</v>
      </c>
      <c r="Q56" s="5">
        <f t="shared" si="1"/>
        <v>4.1399999999999997</v>
      </c>
      <c r="R56" s="5">
        <f t="shared" si="2"/>
        <v>5.25</v>
      </c>
    </row>
    <row r="57" spans="1:18" x14ac:dyDescent="0.2">
      <c r="A57" s="1">
        <v>1985</v>
      </c>
      <c r="B57" s="1">
        <v>3.19</v>
      </c>
      <c r="C57" s="1">
        <v>0.33</v>
      </c>
      <c r="D57" s="1">
        <v>2.1</v>
      </c>
      <c r="E57" s="1">
        <v>0.86</v>
      </c>
      <c r="F57" s="1">
        <v>1.27</v>
      </c>
      <c r="G57" s="1">
        <v>4.3899999999999997</v>
      </c>
      <c r="H57" s="1">
        <v>3.16</v>
      </c>
      <c r="I57" s="1">
        <v>1.71</v>
      </c>
      <c r="J57" s="1">
        <v>1.28</v>
      </c>
      <c r="K57" s="1">
        <v>1.94</v>
      </c>
      <c r="L57" s="1">
        <v>2.57</v>
      </c>
      <c r="M57" s="1">
        <v>2.89</v>
      </c>
      <c r="N57" s="15">
        <f t="shared" si="3"/>
        <v>25.690000000000005</v>
      </c>
      <c r="O57" s="16"/>
      <c r="P57" s="1">
        <v>1985</v>
      </c>
      <c r="Q57" s="5">
        <f t="shared" si="1"/>
        <v>8.9499999999999993</v>
      </c>
      <c r="R57" s="5">
        <f t="shared" si="2"/>
        <v>12.14</v>
      </c>
    </row>
    <row r="58" spans="1:18" x14ac:dyDescent="0.2">
      <c r="A58" s="1">
        <v>1986</v>
      </c>
      <c r="B58" s="1">
        <v>3.63</v>
      </c>
      <c r="C58" s="1">
        <v>0.43</v>
      </c>
      <c r="D58" s="1">
        <v>0.37</v>
      </c>
      <c r="E58" s="1">
        <v>0</v>
      </c>
      <c r="F58" s="1">
        <v>1.89</v>
      </c>
      <c r="G58" s="1">
        <v>0.65</v>
      </c>
      <c r="H58" s="1">
        <v>1.51</v>
      </c>
      <c r="I58" s="1">
        <v>1.44</v>
      </c>
      <c r="J58" s="1">
        <v>3.83</v>
      </c>
      <c r="K58" s="1">
        <v>3.22</v>
      </c>
      <c r="L58" s="1">
        <v>2.19</v>
      </c>
      <c r="M58" s="1">
        <v>3.1</v>
      </c>
      <c r="N58" s="15">
        <f t="shared" si="3"/>
        <v>22.26</v>
      </c>
      <c r="O58" s="16"/>
      <c r="P58" s="1">
        <v>1986</v>
      </c>
      <c r="Q58" s="5">
        <f t="shared" si="1"/>
        <v>3.34</v>
      </c>
      <c r="R58" s="5">
        <f t="shared" si="2"/>
        <v>6.97</v>
      </c>
    </row>
    <row r="59" spans="1:18" x14ac:dyDescent="0.2">
      <c r="A59" s="1">
        <v>1987</v>
      </c>
      <c r="B59" s="1">
        <v>2.71</v>
      </c>
      <c r="C59" s="1">
        <v>3.21</v>
      </c>
      <c r="D59" s="1">
        <v>1.1100000000000001</v>
      </c>
      <c r="E59" s="1">
        <v>1.58</v>
      </c>
      <c r="F59" s="1">
        <v>1.72</v>
      </c>
      <c r="G59" s="1">
        <v>0.41</v>
      </c>
      <c r="H59" s="1">
        <v>0.54</v>
      </c>
      <c r="I59" s="1">
        <v>1.9</v>
      </c>
      <c r="J59" s="1">
        <v>1.02</v>
      </c>
      <c r="K59" s="1">
        <v>1.21</v>
      </c>
      <c r="L59" s="1">
        <v>3.56</v>
      </c>
      <c r="M59" s="1">
        <v>0.98</v>
      </c>
      <c r="N59" s="15">
        <f t="shared" si="3"/>
        <v>19.95</v>
      </c>
      <c r="O59" s="16"/>
      <c r="P59" s="1">
        <v>1987</v>
      </c>
      <c r="Q59" s="5">
        <f t="shared" si="1"/>
        <v>8.0299999999999994</v>
      </c>
      <c r="R59" s="5">
        <f t="shared" si="2"/>
        <v>10.74</v>
      </c>
    </row>
    <row r="60" spans="1:18" x14ac:dyDescent="0.2">
      <c r="A60" s="1">
        <v>1988</v>
      </c>
      <c r="B60" s="1">
        <v>0.48</v>
      </c>
      <c r="C60" s="1">
        <v>1.53</v>
      </c>
      <c r="D60" s="1">
        <v>1.78</v>
      </c>
      <c r="E60" s="1">
        <v>1.22</v>
      </c>
      <c r="F60" s="1">
        <v>0.3</v>
      </c>
      <c r="G60" s="1">
        <v>0.95</v>
      </c>
      <c r="H60" s="1">
        <v>1.76</v>
      </c>
      <c r="I60" s="1">
        <v>1.47</v>
      </c>
      <c r="J60" s="1">
        <v>1.84</v>
      </c>
      <c r="K60" s="1">
        <v>3.2</v>
      </c>
      <c r="L60" s="1">
        <v>4.2</v>
      </c>
      <c r="M60" s="1">
        <v>4.7</v>
      </c>
      <c r="N60" s="15">
        <f t="shared" si="3"/>
        <v>23.43</v>
      </c>
      <c r="O60" s="16"/>
      <c r="P60" s="1">
        <v>1988</v>
      </c>
      <c r="Q60" s="5">
        <f t="shared" si="1"/>
        <v>5.78</v>
      </c>
      <c r="R60" s="5">
        <f t="shared" si="2"/>
        <v>6.26</v>
      </c>
    </row>
    <row r="61" spans="1:18" x14ac:dyDescent="0.2">
      <c r="A61" s="1">
        <v>1989</v>
      </c>
      <c r="B61" s="1">
        <v>1.53</v>
      </c>
      <c r="C61" s="1">
        <v>0.42</v>
      </c>
      <c r="D61" s="1">
        <v>0.32</v>
      </c>
      <c r="E61" s="1">
        <v>1.66</v>
      </c>
      <c r="F61" s="1">
        <v>1.28</v>
      </c>
      <c r="G61" s="1">
        <v>0.96</v>
      </c>
      <c r="H61" s="1">
        <v>0.14000000000000001</v>
      </c>
      <c r="I61" s="1">
        <v>0.72</v>
      </c>
      <c r="J61" s="1">
        <v>0.12</v>
      </c>
      <c r="K61" s="1">
        <v>2.97</v>
      </c>
      <c r="L61" s="1">
        <v>2.81</v>
      </c>
      <c r="M61" s="1">
        <v>2.35</v>
      </c>
      <c r="N61" s="15">
        <f t="shared" si="3"/>
        <v>15.28</v>
      </c>
      <c r="O61" s="16"/>
      <c r="P61" s="1">
        <v>1989</v>
      </c>
      <c r="Q61" s="5">
        <f t="shared" si="1"/>
        <v>4.6399999999999997</v>
      </c>
      <c r="R61" s="5">
        <f t="shared" si="2"/>
        <v>6.17</v>
      </c>
    </row>
    <row r="62" spans="1:18" x14ac:dyDescent="0.2">
      <c r="A62" s="1">
        <v>1990</v>
      </c>
      <c r="B62" s="1">
        <v>1.92</v>
      </c>
      <c r="C62" s="1">
        <v>0</v>
      </c>
      <c r="D62" s="1">
        <v>0.6</v>
      </c>
      <c r="E62" s="1">
        <v>1.0900000000000001</v>
      </c>
      <c r="F62" s="1">
        <v>0.56999999999999995</v>
      </c>
      <c r="G62" s="1">
        <v>0.73</v>
      </c>
      <c r="H62" s="1">
        <v>1.49</v>
      </c>
      <c r="I62" s="1">
        <v>1.23</v>
      </c>
      <c r="J62" s="1">
        <v>0.71</v>
      </c>
      <c r="K62" s="1">
        <v>3.93</v>
      </c>
      <c r="L62" s="1">
        <v>1.1599999999999999</v>
      </c>
      <c r="M62" s="1">
        <v>1.93</v>
      </c>
      <c r="N62" s="15">
        <f t="shared" si="3"/>
        <v>15.36</v>
      </c>
      <c r="O62" s="16"/>
      <c r="P62" s="1">
        <v>1990</v>
      </c>
      <c r="Q62" s="5">
        <f t="shared" si="1"/>
        <v>2.9899999999999998</v>
      </c>
      <c r="R62" s="5">
        <f t="shared" si="2"/>
        <v>4.91</v>
      </c>
    </row>
    <row r="63" spans="1:18" x14ac:dyDescent="0.2">
      <c r="A63" s="1">
        <v>1991</v>
      </c>
      <c r="B63" s="1">
        <v>0.31</v>
      </c>
      <c r="C63" s="1">
        <v>1.38</v>
      </c>
      <c r="D63" s="1">
        <v>2.33</v>
      </c>
      <c r="E63" s="1">
        <v>0.39</v>
      </c>
      <c r="F63" s="1">
        <v>0.34</v>
      </c>
      <c r="G63" s="1">
        <v>1.82</v>
      </c>
      <c r="H63" s="1">
        <v>0</v>
      </c>
      <c r="I63" s="1">
        <v>2.0499999999999998</v>
      </c>
      <c r="J63" s="1">
        <v>0.84</v>
      </c>
      <c r="K63" s="1">
        <v>3.55</v>
      </c>
      <c r="L63" s="1">
        <v>4.9800000000000004</v>
      </c>
      <c r="M63" s="1">
        <v>2.79</v>
      </c>
      <c r="N63" s="15">
        <f t="shared" si="3"/>
        <v>20.779999999999998</v>
      </c>
      <c r="O63" s="16"/>
      <c r="P63" s="1">
        <v>1991</v>
      </c>
      <c r="Q63" s="5">
        <f t="shared" si="1"/>
        <v>6.26</v>
      </c>
      <c r="R63" s="5">
        <f t="shared" si="2"/>
        <v>6.5699999999999994</v>
      </c>
    </row>
    <row r="64" spans="1:18" x14ac:dyDescent="0.2">
      <c r="A64" s="1">
        <v>1992</v>
      </c>
      <c r="B64" s="1">
        <v>0.42</v>
      </c>
      <c r="C64" s="1">
        <v>1.28</v>
      </c>
      <c r="D64" s="1">
        <v>2.09</v>
      </c>
      <c r="E64" s="1">
        <v>0.4</v>
      </c>
      <c r="F64" s="1">
        <v>0.5</v>
      </c>
      <c r="G64" s="1">
        <v>0.66</v>
      </c>
      <c r="H64" s="1">
        <v>0.71</v>
      </c>
      <c r="I64" s="1">
        <v>3.27</v>
      </c>
      <c r="J64" s="1">
        <v>0.75</v>
      </c>
      <c r="K64" s="1">
        <v>1.19</v>
      </c>
      <c r="L64" s="1">
        <v>1.88</v>
      </c>
      <c r="M64" s="1">
        <v>1.24</v>
      </c>
      <c r="N64" s="15">
        <f>SUM(B64:M64)</f>
        <v>14.389999999999999</v>
      </c>
      <c r="O64" s="16"/>
      <c r="P64" s="1">
        <v>1992</v>
      </c>
      <c r="Q64" s="5">
        <f t="shared" si="1"/>
        <v>4.93</v>
      </c>
      <c r="R64" s="5">
        <f t="shared" si="2"/>
        <v>5.3500000000000005</v>
      </c>
    </row>
    <row r="65" spans="1:18" x14ac:dyDescent="0.2">
      <c r="A65" s="1">
        <v>1993</v>
      </c>
      <c r="B65" s="1">
        <v>0.22</v>
      </c>
      <c r="C65" s="1">
        <v>2.3199999999999998</v>
      </c>
      <c r="D65" s="1">
        <v>0.76</v>
      </c>
      <c r="E65" s="1">
        <v>3.73</v>
      </c>
      <c r="F65" s="1">
        <v>1.65</v>
      </c>
      <c r="G65" s="1">
        <v>0.56999999999999995</v>
      </c>
      <c r="H65" s="1">
        <v>0.6</v>
      </c>
      <c r="I65" s="1">
        <v>1.65</v>
      </c>
      <c r="J65" s="1">
        <v>0.16</v>
      </c>
      <c r="K65" s="1">
        <v>3.06</v>
      </c>
      <c r="L65" s="1">
        <v>3.38</v>
      </c>
      <c r="M65" s="1">
        <v>3.58</v>
      </c>
      <c r="N65" s="15">
        <f t="shared" ref="N65:N76" si="4">SUM(B65:M65)</f>
        <v>21.68</v>
      </c>
      <c r="O65" s="16"/>
      <c r="P65" s="1">
        <v>1993</v>
      </c>
      <c r="Q65" s="5">
        <f t="shared" si="1"/>
        <v>9.0300000000000011</v>
      </c>
      <c r="R65" s="5">
        <f t="shared" si="2"/>
        <v>9.25</v>
      </c>
    </row>
    <row r="66" spans="1:18" x14ac:dyDescent="0.2">
      <c r="A66" s="1">
        <v>1994</v>
      </c>
      <c r="B66" s="1">
        <v>0.48</v>
      </c>
      <c r="C66" s="1">
        <v>1.56</v>
      </c>
      <c r="D66" s="5">
        <v>0.2</v>
      </c>
      <c r="E66" s="1">
        <v>0.14000000000000001</v>
      </c>
      <c r="F66" s="1">
        <v>1.39</v>
      </c>
      <c r="G66" s="5">
        <v>1</v>
      </c>
      <c r="H66" s="1">
        <v>1.62</v>
      </c>
      <c r="I66" s="1">
        <v>1.65</v>
      </c>
      <c r="J66" s="1">
        <v>0.27</v>
      </c>
      <c r="K66" s="1">
        <v>1.01</v>
      </c>
      <c r="L66" s="1">
        <v>2.42</v>
      </c>
      <c r="M66" s="1">
        <v>1.1100000000000001</v>
      </c>
      <c r="N66" s="15">
        <f t="shared" si="4"/>
        <v>12.85</v>
      </c>
      <c r="O66" s="16"/>
      <c r="P66" s="1">
        <v>1994</v>
      </c>
      <c r="Q66" s="5">
        <f t="shared" si="1"/>
        <v>4.29</v>
      </c>
      <c r="R66" s="5">
        <f t="shared" si="2"/>
        <v>4.7700000000000005</v>
      </c>
    </row>
    <row r="67" spans="1:18" x14ac:dyDescent="0.2">
      <c r="A67" s="1">
        <v>1995</v>
      </c>
      <c r="B67" s="1">
        <v>2.86</v>
      </c>
      <c r="C67" s="1">
        <v>2.2000000000000002</v>
      </c>
      <c r="D67" s="1">
        <v>0.88</v>
      </c>
      <c r="E67" s="1">
        <v>1.47</v>
      </c>
      <c r="F67" s="1">
        <v>0.36</v>
      </c>
      <c r="G67" s="1">
        <v>1.2</v>
      </c>
      <c r="H67" s="1">
        <v>1.25</v>
      </c>
      <c r="I67" s="1">
        <v>1.93</v>
      </c>
      <c r="J67" s="1">
        <v>1.85</v>
      </c>
      <c r="K67" s="1">
        <v>2.09</v>
      </c>
      <c r="L67" s="1">
        <v>1.63</v>
      </c>
      <c r="M67" s="1">
        <v>1.59</v>
      </c>
      <c r="N67" s="15">
        <f t="shared" si="4"/>
        <v>19.309999999999999</v>
      </c>
      <c r="O67" s="16"/>
      <c r="P67" s="1">
        <v>1995</v>
      </c>
      <c r="Q67" s="5">
        <f t="shared" si="1"/>
        <v>6.11</v>
      </c>
      <c r="R67" s="5">
        <f t="shared" si="2"/>
        <v>8.9700000000000006</v>
      </c>
    </row>
    <row r="68" spans="1:18" x14ac:dyDescent="0.2">
      <c r="A68" s="1">
        <v>1996</v>
      </c>
      <c r="B68" s="1">
        <v>0</v>
      </c>
      <c r="C68" s="1">
        <v>0.13</v>
      </c>
      <c r="D68" s="5">
        <v>0.4</v>
      </c>
      <c r="E68" s="5">
        <v>0.79</v>
      </c>
      <c r="F68" s="5">
        <v>0.6</v>
      </c>
      <c r="G68" s="1">
        <v>0.14000000000000001</v>
      </c>
      <c r="H68" s="1">
        <v>7.0000000000000007E-2</v>
      </c>
      <c r="I68" s="1">
        <v>0</v>
      </c>
      <c r="J68" s="1">
        <v>2.38</v>
      </c>
      <c r="K68" s="1">
        <v>2.57</v>
      </c>
      <c r="L68" s="1">
        <v>2.97</v>
      </c>
      <c r="M68" s="1">
        <v>1.45</v>
      </c>
      <c r="N68" s="15">
        <f t="shared" si="4"/>
        <v>11.5</v>
      </c>
      <c r="O68" s="16"/>
      <c r="P68" s="1">
        <v>1996</v>
      </c>
      <c r="Q68" s="5">
        <f t="shared" si="1"/>
        <v>2.06</v>
      </c>
      <c r="R68" s="5">
        <f t="shared" si="2"/>
        <v>2.06</v>
      </c>
    </row>
    <row r="69" spans="1:18" x14ac:dyDescent="0.2">
      <c r="A69" s="1">
        <v>1997</v>
      </c>
      <c r="B69" s="1">
        <v>3.76</v>
      </c>
      <c r="C69" s="1">
        <v>0.41</v>
      </c>
      <c r="D69" s="5">
        <v>0.06</v>
      </c>
      <c r="E69" s="5">
        <v>1.8</v>
      </c>
      <c r="F69" s="5">
        <v>1.51</v>
      </c>
      <c r="G69" s="1">
        <v>0.28000000000000003</v>
      </c>
      <c r="H69" s="5">
        <v>1.8</v>
      </c>
      <c r="I69" s="1">
        <v>0.66</v>
      </c>
      <c r="J69" s="1">
        <v>2.39</v>
      </c>
      <c r="K69" s="1">
        <v>1.92</v>
      </c>
      <c r="L69" s="1">
        <v>3.96</v>
      </c>
      <c r="M69" s="1">
        <v>2.4</v>
      </c>
      <c r="N69" s="15">
        <f t="shared" si="4"/>
        <v>20.95</v>
      </c>
      <c r="O69" s="16"/>
      <c r="P69" s="1">
        <v>1997</v>
      </c>
      <c r="Q69" s="5">
        <f t="shared" ref="Q69:Q76" si="5">SUM(C69:G69)</f>
        <v>4.0600000000000005</v>
      </c>
      <c r="R69" s="5">
        <f t="shared" ref="R69:R76" si="6">SUM(B69:G69)</f>
        <v>7.8199999999999994</v>
      </c>
    </row>
    <row r="70" spans="1:18" x14ac:dyDescent="0.2">
      <c r="A70" s="1">
        <v>1998</v>
      </c>
      <c r="B70" s="1">
        <v>0.6</v>
      </c>
      <c r="C70" s="1">
        <v>1.1599999999999999</v>
      </c>
      <c r="D70" s="5">
        <v>1.6</v>
      </c>
      <c r="E70" s="1">
        <v>0.03</v>
      </c>
      <c r="F70" s="1">
        <v>0.27</v>
      </c>
      <c r="G70" s="1">
        <v>1.57</v>
      </c>
      <c r="H70" s="1">
        <v>0.63</v>
      </c>
      <c r="I70" s="1">
        <v>0.01</v>
      </c>
      <c r="J70" s="1">
        <v>0.4</v>
      </c>
      <c r="K70" s="1">
        <v>2.56</v>
      </c>
      <c r="L70" s="1">
        <v>2.08</v>
      </c>
      <c r="M70" s="1">
        <v>0.77</v>
      </c>
      <c r="N70" s="15">
        <f t="shared" si="4"/>
        <v>11.68</v>
      </c>
      <c r="O70" s="16"/>
      <c r="P70" s="1">
        <v>1998</v>
      </c>
      <c r="Q70" s="5">
        <f t="shared" si="5"/>
        <v>4.63</v>
      </c>
      <c r="R70" s="5">
        <f t="shared" si="6"/>
        <v>5.2299999999999995</v>
      </c>
    </row>
    <row r="71" spans="1:18" x14ac:dyDescent="0.2">
      <c r="A71" s="1">
        <v>1999</v>
      </c>
      <c r="B71" s="1">
        <v>3.72</v>
      </c>
      <c r="C71" s="1">
        <v>0.34</v>
      </c>
      <c r="D71" s="1">
        <v>0.05</v>
      </c>
      <c r="E71" s="1">
        <v>0.13</v>
      </c>
      <c r="F71" s="1">
        <v>0.01</v>
      </c>
      <c r="G71" s="1">
        <v>1.33</v>
      </c>
      <c r="H71" s="1">
        <v>1.98</v>
      </c>
      <c r="I71" s="1">
        <v>1.61</v>
      </c>
      <c r="J71" s="1">
        <v>2.0699999999999998</v>
      </c>
      <c r="K71" s="1">
        <v>2.35</v>
      </c>
      <c r="L71" s="1">
        <v>2.74</v>
      </c>
      <c r="M71" s="1">
        <v>2.44</v>
      </c>
      <c r="N71" s="15">
        <f t="shared" si="4"/>
        <v>18.77</v>
      </c>
      <c r="O71" s="16"/>
      <c r="P71" s="1">
        <v>1999</v>
      </c>
      <c r="Q71" s="5">
        <f t="shared" si="5"/>
        <v>1.86</v>
      </c>
      <c r="R71" s="5">
        <f t="shared" si="6"/>
        <v>5.58</v>
      </c>
    </row>
    <row r="72" spans="1:18" x14ac:dyDescent="0.2">
      <c r="A72" s="1">
        <v>2000</v>
      </c>
      <c r="B72" s="1">
        <v>0.51</v>
      </c>
      <c r="C72" s="1">
        <v>0.05</v>
      </c>
      <c r="D72" s="1">
        <v>0.56000000000000005</v>
      </c>
      <c r="E72" s="1">
        <v>0.36</v>
      </c>
      <c r="F72" s="1">
        <v>1.4999999999999999E-2</v>
      </c>
      <c r="G72" s="1">
        <v>0.89</v>
      </c>
      <c r="H72" s="1">
        <v>0.36</v>
      </c>
      <c r="I72" s="1">
        <v>0.01</v>
      </c>
      <c r="J72" s="1">
        <v>1.77</v>
      </c>
      <c r="K72" s="1">
        <v>1.1499999999999999</v>
      </c>
      <c r="L72" s="1">
        <v>3.47</v>
      </c>
      <c r="M72" s="1">
        <v>0.36</v>
      </c>
      <c r="N72" s="15">
        <f t="shared" si="4"/>
        <v>9.504999999999999</v>
      </c>
      <c r="O72" s="16"/>
      <c r="P72" s="1">
        <v>2000</v>
      </c>
      <c r="Q72" s="5">
        <f t="shared" si="5"/>
        <v>1.875</v>
      </c>
      <c r="R72" s="5">
        <f t="shared" si="6"/>
        <v>2.3849999999999998</v>
      </c>
    </row>
    <row r="73" spans="1:18" x14ac:dyDescent="0.2">
      <c r="A73" s="1">
        <v>2001</v>
      </c>
      <c r="B73" s="1">
        <v>3.48</v>
      </c>
      <c r="C73" s="1">
        <v>1.76</v>
      </c>
      <c r="D73" s="1">
        <v>0.25</v>
      </c>
      <c r="E73" s="5">
        <v>1.6</v>
      </c>
      <c r="F73" s="5">
        <v>0.6</v>
      </c>
      <c r="G73" s="5">
        <v>0.55000000000000004</v>
      </c>
      <c r="H73" s="5">
        <v>0.6</v>
      </c>
      <c r="I73" s="1">
        <v>0.69</v>
      </c>
      <c r="J73" s="1">
        <v>0.42</v>
      </c>
      <c r="K73" s="1">
        <v>2.21</v>
      </c>
      <c r="L73" s="1">
        <v>2.08</v>
      </c>
      <c r="M73" s="1">
        <v>0.42</v>
      </c>
      <c r="N73" s="15">
        <f t="shared" si="4"/>
        <v>14.66</v>
      </c>
      <c r="O73" s="16"/>
      <c r="P73" s="1">
        <v>2001</v>
      </c>
      <c r="Q73" s="5">
        <f t="shared" si="5"/>
        <v>4.76</v>
      </c>
      <c r="R73" s="5">
        <f t="shared" si="6"/>
        <v>8.24</v>
      </c>
    </row>
    <row r="74" spans="1:18" x14ac:dyDescent="0.2">
      <c r="A74" s="1">
        <v>2002</v>
      </c>
      <c r="B74" s="1">
        <v>0.27</v>
      </c>
      <c r="C74" s="1">
        <v>0.26</v>
      </c>
      <c r="D74" s="1">
        <v>0.24</v>
      </c>
      <c r="E74" s="1">
        <v>0.61</v>
      </c>
      <c r="F74" s="1">
        <v>0.06</v>
      </c>
      <c r="G74" s="1">
        <v>0</v>
      </c>
      <c r="H74" s="1">
        <v>0.17</v>
      </c>
      <c r="I74" s="1">
        <v>7.0000000000000007E-2</v>
      </c>
      <c r="J74" s="1">
        <v>0.36</v>
      </c>
      <c r="K74" s="1">
        <v>0.68</v>
      </c>
      <c r="L74" s="1">
        <v>0.97</v>
      </c>
      <c r="M74" s="1">
        <v>1.66</v>
      </c>
      <c r="N74" s="15">
        <f t="shared" si="4"/>
        <v>5.3500000000000005</v>
      </c>
      <c r="O74" s="16"/>
      <c r="P74" s="1">
        <v>2002</v>
      </c>
      <c r="Q74" s="5">
        <f t="shared" si="5"/>
        <v>1.17</v>
      </c>
      <c r="R74" s="5">
        <f t="shared" si="6"/>
        <v>1.44</v>
      </c>
    </row>
    <row r="75" spans="1:18" x14ac:dyDescent="0.2">
      <c r="A75" s="1">
        <v>2003</v>
      </c>
      <c r="B75" s="5">
        <v>1.9</v>
      </c>
      <c r="C75" s="5">
        <v>0.77</v>
      </c>
      <c r="D75" s="5">
        <v>0.8</v>
      </c>
      <c r="E75" s="5">
        <v>0</v>
      </c>
      <c r="F75" s="5">
        <v>0.90500000000000003</v>
      </c>
      <c r="G75" s="5">
        <v>0.78</v>
      </c>
      <c r="H75" s="5">
        <v>0.18</v>
      </c>
      <c r="I75" s="5">
        <v>1.7</v>
      </c>
      <c r="J75" s="5">
        <v>0.27</v>
      </c>
      <c r="K75" s="5">
        <v>0.26</v>
      </c>
      <c r="L75" s="5">
        <v>2.2000000000000002</v>
      </c>
      <c r="M75" s="1">
        <v>0.41</v>
      </c>
      <c r="N75" s="15">
        <f t="shared" si="4"/>
        <v>10.175000000000001</v>
      </c>
      <c r="O75" s="16"/>
      <c r="P75" s="1">
        <v>2003</v>
      </c>
      <c r="Q75" s="5">
        <f t="shared" si="5"/>
        <v>3.2549999999999999</v>
      </c>
      <c r="R75" s="5">
        <f t="shared" si="6"/>
        <v>5.1550000000000002</v>
      </c>
    </row>
    <row r="76" spans="1:18" x14ac:dyDescent="0.2">
      <c r="A76" s="1">
        <v>2004</v>
      </c>
      <c r="B76" s="13">
        <v>1.05</v>
      </c>
      <c r="C76" s="13">
        <v>0.79</v>
      </c>
      <c r="D76" s="13">
        <v>0.22</v>
      </c>
      <c r="E76" s="1">
        <v>0.84</v>
      </c>
      <c r="F76" s="1">
        <v>1.41</v>
      </c>
      <c r="G76" s="1">
        <v>1.26</v>
      </c>
      <c r="H76" s="5">
        <v>3.4</v>
      </c>
      <c r="I76" s="1">
        <v>0</v>
      </c>
      <c r="J76" s="1">
        <v>0.52</v>
      </c>
      <c r="K76" s="1">
        <v>2.23</v>
      </c>
      <c r="L76" s="1">
        <v>1.1399999999999999</v>
      </c>
      <c r="M76" s="1">
        <v>0.89</v>
      </c>
      <c r="N76" s="15">
        <f t="shared" si="4"/>
        <v>13.75</v>
      </c>
      <c r="O76" s="16"/>
      <c r="P76" s="1">
        <v>2004</v>
      </c>
      <c r="Q76" s="5">
        <f t="shared" si="5"/>
        <v>4.5199999999999996</v>
      </c>
      <c r="R76" s="5">
        <f t="shared" si="6"/>
        <v>5.5699999999999994</v>
      </c>
    </row>
    <row r="77" spans="1:18" x14ac:dyDescent="0.2">
      <c r="N77" s="4">
        <f>SUM(N51:N76)/26</f>
        <v>16.521153846153847</v>
      </c>
      <c r="O77" s="6"/>
      <c r="P77" s="3" t="s">
        <v>61</v>
      </c>
      <c r="Q77" s="4">
        <f>SUM(Q81:Q83)/3</f>
        <v>4.4934162895927603</v>
      </c>
      <c r="R77" s="4">
        <f>SUM(R81:R83)/3</f>
        <v>6.1821018099547507</v>
      </c>
    </row>
    <row r="78" spans="1:18" x14ac:dyDescent="0.2">
      <c r="N78" s="3"/>
      <c r="O78" s="6"/>
      <c r="P78" s="1" t="s">
        <v>42</v>
      </c>
    </row>
    <row r="79" spans="1:18" x14ac:dyDescent="0.2">
      <c r="N79" s="4">
        <f>MEDIAN(N51:N76)</f>
        <v>16.204999999999998</v>
      </c>
      <c r="O79" s="24"/>
      <c r="P79" s="3" t="s">
        <v>62</v>
      </c>
      <c r="Q79" s="4">
        <f>MEDIAN(Q51:Q76)</f>
        <v>4.6500000000000004</v>
      </c>
      <c r="R79" s="4">
        <f>MEDIAN(R51:R76)</f>
        <v>6.0549999999999997</v>
      </c>
    </row>
    <row r="80" spans="1:18" x14ac:dyDescent="0.2">
      <c r="N80" s="3"/>
      <c r="O80" s="6"/>
    </row>
    <row r="81" spans="15:18" x14ac:dyDescent="0.2">
      <c r="O81" s="6"/>
      <c r="P81" s="1" t="s">
        <v>63</v>
      </c>
      <c r="Q81" s="5">
        <f>SUM(Q51:Q76)/26</f>
        <v>5.0523076923076928</v>
      </c>
      <c r="R81" s="5">
        <f>SUM(R51:R76)/26</f>
        <v>6.5369230769230748</v>
      </c>
    </row>
    <row r="82" spans="15:18" x14ac:dyDescent="0.2">
      <c r="O82" s="6"/>
      <c r="P82" s="1" t="s">
        <v>64</v>
      </c>
      <c r="Q82" s="5">
        <f>SUM(Q43:Q47)/5</f>
        <v>4.2849999999999993</v>
      </c>
      <c r="R82" s="5">
        <f>SUM(R43:R47)/5</f>
        <v>6.5810000000000004</v>
      </c>
    </row>
    <row r="83" spans="15:18" x14ac:dyDescent="0.2">
      <c r="O83" s="6"/>
      <c r="P83" s="1" t="s">
        <v>65</v>
      </c>
      <c r="Q83" s="5">
        <f>SUM(Q8:Q41)/34</f>
        <v>4.1429411764705879</v>
      </c>
      <c r="R83" s="5">
        <f>SUM(R8:R41)/34</f>
        <v>5.428382352941175</v>
      </c>
    </row>
    <row r="84" spans="15:18" x14ac:dyDescent="0.2">
      <c r="O84" s="6"/>
    </row>
    <row r="85" spans="15:18" x14ac:dyDescent="0.2">
      <c r="O85" s="6"/>
    </row>
    <row r="86" spans="15:18" x14ac:dyDescent="0.2">
      <c r="O86" s="6"/>
    </row>
    <row r="87" spans="15:18" x14ac:dyDescent="0.2">
      <c r="O87" s="6"/>
    </row>
    <row r="88" spans="15:18" x14ac:dyDescent="0.2">
      <c r="O88" s="6"/>
    </row>
    <row r="89" spans="15:18" x14ac:dyDescent="0.2">
      <c r="O89" s="6"/>
    </row>
    <row r="90" spans="15:18" x14ac:dyDescent="0.2">
      <c r="O90" s="6"/>
    </row>
    <row r="91" spans="15:18" x14ac:dyDescent="0.2">
      <c r="O91" s="6"/>
    </row>
    <row r="92" spans="15:18" x14ac:dyDescent="0.2">
      <c r="O92" s="6"/>
    </row>
    <row r="93" spans="15:18" x14ac:dyDescent="0.2">
      <c r="O93" s="6"/>
    </row>
    <row r="94" spans="15:18" x14ac:dyDescent="0.2">
      <c r="O94" s="6"/>
    </row>
    <row r="95" spans="15:18" x14ac:dyDescent="0.2">
      <c r="O95" s="6"/>
    </row>
    <row r="96" spans="15:18" x14ac:dyDescent="0.2">
      <c r="O96" s="6"/>
    </row>
    <row r="97" spans="15:15" x14ac:dyDescent="0.2">
      <c r="O97" s="6"/>
    </row>
    <row r="98" spans="15:15" x14ac:dyDescent="0.2">
      <c r="O98" s="6"/>
    </row>
    <row r="99" spans="15:15" x14ac:dyDescent="0.2">
      <c r="O99" s="6"/>
    </row>
    <row r="100" spans="15:15" x14ac:dyDescent="0.2">
      <c r="O100" s="6"/>
    </row>
    <row r="101" spans="15:15" x14ac:dyDescent="0.2">
      <c r="O101" s="6"/>
    </row>
    <row r="102" spans="15:15" x14ac:dyDescent="0.2">
      <c r="O102" s="6"/>
    </row>
    <row r="103" spans="15:15" x14ac:dyDescent="0.2">
      <c r="O103" s="6"/>
    </row>
    <row r="104" spans="15:15" x14ac:dyDescent="0.2">
      <c r="O104" s="6"/>
    </row>
  </sheetData>
  <phoneticPr fontId="8" type="noConversion"/>
  <pageMargins left="0.75" right="0.75" top="1" bottom="1" header="0.5" footer="0.5"/>
  <pageSetup paperSize="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5"/>
  <sheetViews>
    <sheetView workbookViewId="0">
      <selection activeCell="A2" sqref="A2"/>
    </sheetView>
  </sheetViews>
  <sheetFormatPr defaultRowHeight="12.75" x14ac:dyDescent="0.2"/>
  <cols>
    <col min="1" max="1" width="4.85546875" bestFit="1" customWidth="1"/>
    <col min="2" max="2" width="8.140625" bestFit="1" customWidth="1"/>
    <col min="4" max="4" width="8" bestFit="1" customWidth="1"/>
    <col min="5" max="5" width="7.42578125" bestFit="1" customWidth="1"/>
    <col min="6" max="6" width="6.42578125" customWidth="1"/>
  </cols>
  <sheetData>
    <row r="1" spans="1:6" x14ac:dyDescent="0.2">
      <c r="B1" t="s">
        <v>45</v>
      </c>
      <c r="C1" t="s">
        <v>45</v>
      </c>
      <c r="D1" t="s">
        <v>45</v>
      </c>
      <c r="E1" t="s">
        <v>45</v>
      </c>
    </row>
    <row r="2" spans="1:6" x14ac:dyDescent="0.2">
      <c r="A2">
        <v>1992</v>
      </c>
      <c r="B2" t="s">
        <v>47</v>
      </c>
      <c r="C2" t="s">
        <v>48</v>
      </c>
      <c r="D2" t="s">
        <v>49</v>
      </c>
      <c r="E2" t="s">
        <v>50</v>
      </c>
      <c r="F2" t="s">
        <v>46</v>
      </c>
    </row>
    <row r="3" spans="1:6" x14ac:dyDescent="0.2">
      <c r="A3" t="s">
        <v>30</v>
      </c>
      <c r="B3" t="s">
        <v>45</v>
      </c>
      <c r="C3" s="23">
        <v>0.4</v>
      </c>
      <c r="D3" t="s">
        <v>45</v>
      </c>
      <c r="E3">
        <v>0.48</v>
      </c>
    </row>
    <row r="4" spans="1:6" x14ac:dyDescent="0.2">
      <c r="A4" t="s">
        <v>31</v>
      </c>
      <c r="B4" t="s">
        <v>45</v>
      </c>
      <c r="C4" s="23">
        <v>0.5</v>
      </c>
      <c r="D4" t="s">
        <v>45</v>
      </c>
      <c r="E4">
        <v>0.35</v>
      </c>
    </row>
    <row r="5" spans="1:6" x14ac:dyDescent="0.2">
      <c r="A5" t="s">
        <v>32</v>
      </c>
      <c r="B5" t="s">
        <v>45</v>
      </c>
      <c r="C5">
        <v>0.66</v>
      </c>
      <c r="D5" t="s">
        <v>45</v>
      </c>
      <c r="E5">
        <v>1.25</v>
      </c>
    </row>
    <row r="6" spans="1:6" x14ac:dyDescent="0.2">
      <c r="A6" t="s">
        <v>33</v>
      </c>
      <c r="B6" t="s">
        <v>45</v>
      </c>
      <c r="C6">
        <v>0.71</v>
      </c>
      <c r="D6" t="s">
        <v>45</v>
      </c>
      <c r="E6">
        <v>0.43</v>
      </c>
    </row>
    <row r="7" spans="1:6" x14ac:dyDescent="0.2">
      <c r="A7" t="s">
        <v>34</v>
      </c>
      <c r="B7" t="s">
        <v>45</v>
      </c>
      <c r="C7">
        <v>3.27</v>
      </c>
      <c r="D7" t="s">
        <v>45</v>
      </c>
      <c r="E7">
        <v>3.11</v>
      </c>
    </row>
    <row r="8" spans="1:6" x14ac:dyDescent="0.2">
      <c r="A8" t="s">
        <v>35</v>
      </c>
      <c r="B8" t="s">
        <v>45</v>
      </c>
      <c r="C8">
        <v>0.75</v>
      </c>
      <c r="D8" t="s">
        <v>45</v>
      </c>
      <c r="E8">
        <v>0.85</v>
      </c>
    </row>
    <row r="9" spans="1:6" x14ac:dyDescent="0.2">
      <c r="A9" t="s">
        <v>36</v>
      </c>
      <c r="B9" t="s">
        <v>45</v>
      </c>
      <c r="C9">
        <v>1.19</v>
      </c>
      <c r="D9" t="s">
        <v>45</v>
      </c>
      <c r="E9">
        <v>1.96</v>
      </c>
    </row>
    <row r="10" spans="1:6" x14ac:dyDescent="0.2">
      <c r="A10" t="s">
        <v>37</v>
      </c>
      <c r="B10" t="s">
        <v>45</v>
      </c>
      <c r="C10">
        <v>1.88</v>
      </c>
      <c r="D10" t="s">
        <v>45</v>
      </c>
      <c r="E10">
        <v>3.31</v>
      </c>
    </row>
    <row r="11" spans="1:6" x14ac:dyDescent="0.2">
      <c r="A11" t="s">
        <v>38</v>
      </c>
      <c r="B11" t="s">
        <v>45</v>
      </c>
      <c r="C11">
        <v>1.24</v>
      </c>
      <c r="D11" t="s">
        <v>45</v>
      </c>
      <c r="E11">
        <v>1.18</v>
      </c>
    </row>
    <row r="12" spans="1:6" x14ac:dyDescent="0.2">
      <c r="A12" t="s">
        <v>27</v>
      </c>
      <c r="B12" t="s">
        <v>45</v>
      </c>
      <c r="C12">
        <v>0.22</v>
      </c>
      <c r="D12" t="s">
        <v>45</v>
      </c>
      <c r="E12">
        <v>0.36</v>
      </c>
    </row>
    <row r="13" spans="1:6" x14ac:dyDescent="0.2">
      <c r="A13" t="s">
        <v>28</v>
      </c>
      <c r="B13" t="s">
        <v>45</v>
      </c>
      <c r="C13">
        <v>2.3199999999999998</v>
      </c>
      <c r="D13" t="s">
        <v>45</v>
      </c>
      <c r="E13">
        <v>1.39</v>
      </c>
    </row>
    <row r="14" spans="1:6" x14ac:dyDescent="0.2">
      <c r="A14" t="s">
        <v>29</v>
      </c>
      <c r="B14" t="s">
        <v>45</v>
      </c>
      <c r="C14">
        <v>0.76</v>
      </c>
      <c r="D14" t="s">
        <v>45</v>
      </c>
      <c r="E14">
        <v>1.62</v>
      </c>
    </row>
    <row r="15" spans="1:6" x14ac:dyDescent="0.2">
      <c r="A15" t="s">
        <v>54</v>
      </c>
      <c r="B15" t="s">
        <v>45</v>
      </c>
      <c r="C15" s="23">
        <f>SUM(C3:C14)</f>
        <v>13.9</v>
      </c>
      <c r="D15" t="s">
        <v>45</v>
      </c>
      <c r="E15">
        <f>SUM(E3:E14)</f>
        <v>16.29</v>
      </c>
    </row>
    <row r="16" spans="1:6" x14ac:dyDescent="0.2">
      <c r="B16" t="s">
        <v>45</v>
      </c>
      <c r="C16" t="s">
        <v>45</v>
      </c>
      <c r="D16" t="s">
        <v>45</v>
      </c>
      <c r="E16" t="s">
        <v>45</v>
      </c>
      <c r="F16" t="s">
        <v>45</v>
      </c>
    </row>
    <row r="17" spans="1:6" x14ac:dyDescent="0.2">
      <c r="A17">
        <v>1993</v>
      </c>
      <c r="B17" t="s">
        <v>47</v>
      </c>
      <c r="C17" t="s">
        <v>48</v>
      </c>
      <c r="D17" t="s">
        <v>49</v>
      </c>
      <c r="E17" t="s">
        <v>50</v>
      </c>
      <c r="F17" t="s">
        <v>46</v>
      </c>
    </row>
    <row r="18" spans="1:6" x14ac:dyDescent="0.2">
      <c r="A18" t="s">
        <v>30</v>
      </c>
      <c r="B18" t="s">
        <v>45</v>
      </c>
      <c r="C18">
        <v>3.73</v>
      </c>
      <c r="D18" t="s">
        <v>45</v>
      </c>
      <c r="E18">
        <v>3.4</v>
      </c>
      <c r="F18">
        <v>3.52</v>
      </c>
    </row>
    <row r="19" spans="1:6" x14ac:dyDescent="0.2">
      <c r="A19" t="s">
        <v>31</v>
      </c>
      <c r="B19" t="s">
        <v>45</v>
      </c>
      <c r="C19">
        <v>1.65</v>
      </c>
      <c r="D19" t="s">
        <v>45</v>
      </c>
      <c r="E19">
        <v>2.0699999999999998</v>
      </c>
      <c r="F19">
        <v>2.64</v>
      </c>
    </row>
    <row r="20" spans="1:6" x14ac:dyDescent="0.2">
      <c r="A20" t="s">
        <v>32</v>
      </c>
      <c r="B20" t="s">
        <v>45</v>
      </c>
      <c r="C20">
        <v>0.56999999999999995</v>
      </c>
      <c r="D20" t="s">
        <v>45</v>
      </c>
      <c r="E20">
        <v>0.9</v>
      </c>
      <c r="F20">
        <v>1.28</v>
      </c>
    </row>
    <row r="21" spans="1:6" x14ac:dyDescent="0.2">
      <c r="A21" t="s">
        <v>33</v>
      </c>
      <c r="B21" t="s">
        <v>45</v>
      </c>
      <c r="C21">
        <v>0.6</v>
      </c>
      <c r="D21" t="s">
        <v>45</v>
      </c>
      <c r="E21">
        <v>0.05</v>
      </c>
      <c r="F21">
        <v>0.09</v>
      </c>
    </row>
    <row r="22" spans="1:6" x14ac:dyDescent="0.2">
      <c r="A22" t="s">
        <v>34</v>
      </c>
      <c r="B22" t="s">
        <v>45</v>
      </c>
      <c r="C22">
        <v>1.65</v>
      </c>
      <c r="D22" t="s">
        <v>45</v>
      </c>
      <c r="E22">
        <v>1.1599999999999999</v>
      </c>
      <c r="F22">
        <v>1.36</v>
      </c>
    </row>
    <row r="23" spans="1:6" x14ac:dyDescent="0.2">
      <c r="A23" t="s">
        <v>35</v>
      </c>
      <c r="B23" t="s">
        <v>45</v>
      </c>
      <c r="C23">
        <v>0.16</v>
      </c>
      <c r="D23" t="s">
        <v>45</v>
      </c>
      <c r="E23">
        <v>0.45</v>
      </c>
      <c r="F23">
        <v>0.66</v>
      </c>
    </row>
    <row r="24" spans="1:6" x14ac:dyDescent="0.2">
      <c r="A24" t="s">
        <v>36</v>
      </c>
      <c r="B24" t="s">
        <v>45</v>
      </c>
      <c r="C24">
        <v>3.06</v>
      </c>
      <c r="D24" t="s">
        <v>45</v>
      </c>
      <c r="E24">
        <v>2.13</v>
      </c>
      <c r="F24">
        <v>3.66</v>
      </c>
    </row>
    <row r="25" spans="1:6" x14ac:dyDescent="0.2">
      <c r="A25" t="s">
        <v>37</v>
      </c>
      <c r="B25" t="s">
        <v>51</v>
      </c>
      <c r="C25">
        <v>3.38</v>
      </c>
      <c r="D25">
        <v>4.9400000000000004</v>
      </c>
      <c r="E25">
        <v>6.01</v>
      </c>
      <c r="F25">
        <v>7.43</v>
      </c>
    </row>
    <row r="26" spans="1:6" x14ac:dyDescent="0.2">
      <c r="A26" t="s">
        <v>38</v>
      </c>
      <c r="B26">
        <v>1.23</v>
      </c>
      <c r="C26">
        <v>3.58</v>
      </c>
      <c r="D26">
        <v>1.37</v>
      </c>
      <c r="E26">
        <v>1.47</v>
      </c>
      <c r="F26">
        <v>1.51</v>
      </c>
    </row>
    <row r="27" spans="1:6" x14ac:dyDescent="0.2">
      <c r="A27" t="s">
        <v>27</v>
      </c>
      <c r="B27">
        <v>0.48</v>
      </c>
      <c r="C27">
        <v>0.48</v>
      </c>
      <c r="D27">
        <v>0.95</v>
      </c>
      <c r="E27">
        <v>0.59</v>
      </c>
      <c r="F27">
        <v>0.63</v>
      </c>
    </row>
    <row r="28" spans="1:6" x14ac:dyDescent="0.2">
      <c r="A28" t="s">
        <v>28</v>
      </c>
      <c r="B28">
        <v>0.17</v>
      </c>
      <c r="C28">
        <v>1.56</v>
      </c>
      <c r="D28">
        <v>1.8</v>
      </c>
      <c r="E28">
        <v>1.35</v>
      </c>
      <c r="F28">
        <v>1.76</v>
      </c>
    </row>
    <row r="29" spans="1:6" x14ac:dyDescent="0.2">
      <c r="A29" t="s">
        <v>29</v>
      </c>
      <c r="B29">
        <v>0.15</v>
      </c>
      <c r="C29">
        <v>0.2</v>
      </c>
      <c r="D29">
        <v>0.72</v>
      </c>
      <c r="E29">
        <v>0.18</v>
      </c>
      <c r="F29">
        <v>0.26</v>
      </c>
    </row>
    <row r="30" spans="1:6" x14ac:dyDescent="0.2">
      <c r="A30" t="s">
        <v>54</v>
      </c>
      <c r="B30" t="s">
        <v>45</v>
      </c>
      <c r="C30">
        <f>SUM(C18:C29)</f>
        <v>20.62</v>
      </c>
      <c r="D30" t="s">
        <v>45</v>
      </c>
      <c r="E30">
        <f>SUM(E18:E29)</f>
        <v>19.760000000000002</v>
      </c>
      <c r="F30">
        <f>SUM(F18:F29)</f>
        <v>24.800000000000004</v>
      </c>
    </row>
    <row r="31" spans="1:6" x14ac:dyDescent="0.2">
      <c r="B31" t="s">
        <v>45</v>
      </c>
      <c r="C31" t="s">
        <v>45</v>
      </c>
      <c r="D31" t="s">
        <v>45</v>
      </c>
      <c r="E31" t="s">
        <v>45</v>
      </c>
      <c r="F31" t="s">
        <v>45</v>
      </c>
    </row>
    <row r="32" spans="1:6" x14ac:dyDescent="0.2">
      <c r="A32">
        <v>1994</v>
      </c>
      <c r="B32" t="s">
        <v>47</v>
      </c>
      <c r="C32" t="s">
        <v>48</v>
      </c>
      <c r="D32" t="s">
        <v>49</v>
      </c>
      <c r="E32" t="s">
        <v>50</v>
      </c>
      <c r="F32" t="s">
        <v>46</v>
      </c>
    </row>
    <row r="33" spans="1:6" x14ac:dyDescent="0.2">
      <c r="A33" t="s">
        <v>30</v>
      </c>
      <c r="B33">
        <v>0</v>
      </c>
      <c r="C33">
        <v>0.14000000000000001</v>
      </c>
      <c r="D33">
        <v>0.66</v>
      </c>
      <c r="E33">
        <v>0.51</v>
      </c>
      <c r="F33">
        <v>3.52</v>
      </c>
    </row>
    <row r="34" spans="1:6" x14ac:dyDescent="0.2">
      <c r="A34" t="s">
        <v>31</v>
      </c>
      <c r="B34">
        <v>0.1</v>
      </c>
      <c r="C34">
        <v>1.39</v>
      </c>
      <c r="D34">
        <v>0.89</v>
      </c>
      <c r="E34">
        <v>0.49</v>
      </c>
      <c r="F34">
        <v>2.64</v>
      </c>
    </row>
    <row r="35" spans="1:6" x14ac:dyDescent="0.2">
      <c r="A35" t="s">
        <v>32</v>
      </c>
      <c r="B35">
        <v>1.49</v>
      </c>
      <c r="C35">
        <v>1</v>
      </c>
      <c r="D35">
        <v>1.97</v>
      </c>
      <c r="E35">
        <v>1.57</v>
      </c>
      <c r="F35">
        <v>1.28</v>
      </c>
    </row>
    <row r="36" spans="1:6" x14ac:dyDescent="0.2">
      <c r="A36" t="s">
        <v>33</v>
      </c>
      <c r="B36">
        <v>1.03</v>
      </c>
      <c r="C36">
        <v>1.62</v>
      </c>
      <c r="D36">
        <v>1.27</v>
      </c>
      <c r="E36">
        <v>1.62</v>
      </c>
      <c r="F36">
        <v>0.09</v>
      </c>
    </row>
    <row r="37" spans="1:6" x14ac:dyDescent="0.2">
      <c r="A37" t="s">
        <v>34</v>
      </c>
      <c r="B37">
        <v>2.4</v>
      </c>
      <c r="C37">
        <v>1.65</v>
      </c>
      <c r="D37">
        <v>2.7</v>
      </c>
      <c r="E37">
        <v>2.41</v>
      </c>
      <c r="F37">
        <v>1.36</v>
      </c>
    </row>
    <row r="38" spans="1:6" x14ac:dyDescent="0.2">
      <c r="A38" t="s">
        <v>35</v>
      </c>
      <c r="B38">
        <v>0.27</v>
      </c>
      <c r="C38">
        <v>0.27</v>
      </c>
      <c r="D38">
        <v>0.3</v>
      </c>
      <c r="E38">
        <v>0.44</v>
      </c>
      <c r="F38">
        <v>0.66</v>
      </c>
    </row>
    <row r="39" spans="1:6" x14ac:dyDescent="0.2">
      <c r="A39" t="s">
        <v>36</v>
      </c>
      <c r="B39">
        <v>1.01</v>
      </c>
      <c r="C39">
        <v>1.01</v>
      </c>
      <c r="D39">
        <v>1.27</v>
      </c>
      <c r="E39">
        <v>1.48</v>
      </c>
      <c r="F39">
        <v>3.66</v>
      </c>
    </row>
    <row r="40" spans="1:6" x14ac:dyDescent="0.2">
      <c r="A40" t="s">
        <v>37</v>
      </c>
      <c r="B40">
        <v>2.52</v>
      </c>
      <c r="C40">
        <v>2.42</v>
      </c>
      <c r="D40">
        <v>2.36</v>
      </c>
      <c r="E40">
        <v>2.2799999999999998</v>
      </c>
      <c r="F40">
        <v>7.43</v>
      </c>
    </row>
    <row r="41" spans="1:6" x14ac:dyDescent="0.2">
      <c r="A41" t="s">
        <v>38</v>
      </c>
      <c r="B41">
        <v>1.1399999999999999</v>
      </c>
      <c r="C41">
        <v>1.1100000000000001</v>
      </c>
      <c r="D41" t="s">
        <v>45</v>
      </c>
      <c r="E41">
        <v>1.49</v>
      </c>
      <c r="F41">
        <v>1.51</v>
      </c>
    </row>
    <row r="42" spans="1:6" x14ac:dyDescent="0.2">
      <c r="A42" t="s">
        <v>27</v>
      </c>
      <c r="B42">
        <v>2.86</v>
      </c>
      <c r="C42">
        <v>2.86</v>
      </c>
      <c r="D42" t="s">
        <v>45</v>
      </c>
      <c r="E42">
        <v>3.25</v>
      </c>
      <c r="F42">
        <v>0.63</v>
      </c>
    </row>
    <row r="43" spans="1:6" x14ac:dyDescent="0.2">
      <c r="A43" t="s">
        <v>28</v>
      </c>
      <c r="B43">
        <v>2.2000000000000002</v>
      </c>
      <c r="C43">
        <v>2.2000000000000002</v>
      </c>
      <c r="D43" t="s">
        <v>45</v>
      </c>
      <c r="E43">
        <v>2.04</v>
      </c>
      <c r="F43">
        <v>1.76</v>
      </c>
    </row>
    <row r="44" spans="1:6" x14ac:dyDescent="0.2">
      <c r="A44" t="s">
        <v>29</v>
      </c>
      <c r="B44">
        <v>0.85</v>
      </c>
      <c r="C44">
        <v>0.88</v>
      </c>
      <c r="D44" t="s">
        <v>45</v>
      </c>
      <c r="E44">
        <v>0.84</v>
      </c>
      <c r="F44">
        <v>0.26</v>
      </c>
    </row>
    <row r="45" spans="1:6" x14ac:dyDescent="0.2">
      <c r="A45" t="s">
        <v>54</v>
      </c>
      <c r="B45">
        <f>SUM(B33:B44)</f>
        <v>15.87</v>
      </c>
      <c r="C45">
        <f>SUM(C33:C44)</f>
        <v>16.549999999999997</v>
      </c>
      <c r="D45" t="s">
        <v>45</v>
      </c>
      <c r="E45">
        <f>SUM(E33:E44)</f>
        <v>18.420000000000002</v>
      </c>
      <c r="F45">
        <f>SUM(F33:F44)</f>
        <v>24.800000000000004</v>
      </c>
    </row>
    <row r="46" spans="1:6" x14ac:dyDescent="0.2">
      <c r="B46" t="s">
        <v>45</v>
      </c>
      <c r="C46" t="s">
        <v>45</v>
      </c>
      <c r="D46" t="s">
        <v>45</v>
      </c>
      <c r="E46" t="s">
        <v>45</v>
      </c>
      <c r="F46" t="s">
        <v>45</v>
      </c>
    </row>
    <row r="47" spans="1:6" x14ac:dyDescent="0.2">
      <c r="A47">
        <v>1995</v>
      </c>
      <c r="B47" t="s">
        <v>47</v>
      </c>
      <c r="C47" t="s">
        <v>48</v>
      </c>
      <c r="D47" t="s">
        <v>49</v>
      </c>
      <c r="E47" t="s">
        <v>50</v>
      </c>
      <c r="F47" t="s">
        <v>46</v>
      </c>
    </row>
    <row r="48" spans="1:6" x14ac:dyDescent="0.2">
      <c r="A48" t="s">
        <v>30</v>
      </c>
      <c r="B48">
        <v>0.92</v>
      </c>
      <c r="C48">
        <v>1.47</v>
      </c>
      <c r="D48">
        <v>3.7</v>
      </c>
      <c r="E48">
        <v>1.22</v>
      </c>
      <c r="F48">
        <v>1.41</v>
      </c>
    </row>
    <row r="49" spans="1:6" x14ac:dyDescent="0.2">
      <c r="A49" t="s">
        <v>31</v>
      </c>
      <c r="B49">
        <v>0.44</v>
      </c>
      <c r="C49">
        <v>0.36</v>
      </c>
      <c r="D49">
        <v>0.62</v>
      </c>
      <c r="E49">
        <v>0.85</v>
      </c>
      <c r="F49">
        <v>1.26</v>
      </c>
    </row>
    <row r="50" spans="1:6" x14ac:dyDescent="0.2">
      <c r="A50" t="s">
        <v>32</v>
      </c>
      <c r="B50">
        <v>0.7</v>
      </c>
      <c r="C50">
        <v>1.2</v>
      </c>
      <c r="D50">
        <v>0.99</v>
      </c>
      <c r="E50">
        <v>0.93</v>
      </c>
      <c r="F50">
        <v>1.4</v>
      </c>
    </row>
    <row r="51" spans="1:6" x14ac:dyDescent="0.2">
      <c r="A51" t="s">
        <v>33</v>
      </c>
      <c r="B51">
        <v>1.1000000000000001</v>
      </c>
      <c r="C51">
        <v>1.25</v>
      </c>
      <c r="D51">
        <v>1.27</v>
      </c>
      <c r="E51">
        <v>1.44</v>
      </c>
      <c r="F51">
        <v>1.91</v>
      </c>
    </row>
    <row r="52" spans="1:6" x14ac:dyDescent="0.2">
      <c r="A52" t="s">
        <v>34</v>
      </c>
      <c r="B52">
        <v>1.64</v>
      </c>
      <c r="C52">
        <v>1.93</v>
      </c>
      <c r="D52">
        <v>1.93</v>
      </c>
      <c r="E52">
        <v>2.64</v>
      </c>
      <c r="F52">
        <v>1.97</v>
      </c>
    </row>
    <row r="53" spans="1:6" x14ac:dyDescent="0.2">
      <c r="A53" t="s">
        <v>35</v>
      </c>
      <c r="B53">
        <v>1.71</v>
      </c>
      <c r="C53">
        <v>1.85</v>
      </c>
      <c r="D53">
        <v>1.84</v>
      </c>
      <c r="E53">
        <v>1.69</v>
      </c>
      <c r="F53">
        <v>2.92</v>
      </c>
    </row>
    <row r="54" spans="1:6" x14ac:dyDescent="0.2">
      <c r="A54" t="s">
        <v>36</v>
      </c>
      <c r="B54">
        <v>1.51</v>
      </c>
      <c r="C54">
        <v>2.09</v>
      </c>
      <c r="D54">
        <v>1.81</v>
      </c>
      <c r="E54">
        <v>0.95</v>
      </c>
      <c r="F54">
        <v>1.28</v>
      </c>
    </row>
    <row r="55" spans="1:6" x14ac:dyDescent="0.2">
      <c r="A55" t="s">
        <v>37</v>
      </c>
      <c r="B55">
        <v>1.66</v>
      </c>
      <c r="C55">
        <v>1.63</v>
      </c>
      <c r="D55">
        <v>1.77</v>
      </c>
      <c r="E55">
        <v>3.57</v>
      </c>
      <c r="F55">
        <v>7.1</v>
      </c>
    </row>
    <row r="56" spans="1:6" x14ac:dyDescent="0.2">
      <c r="A56" t="s">
        <v>38</v>
      </c>
      <c r="B56">
        <v>1.29</v>
      </c>
      <c r="C56">
        <v>1.59</v>
      </c>
      <c r="D56">
        <v>1.6</v>
      </c>
      <c r="E56">
        <v>2.11</v>
      </c>
      <c r="F56">
        <v>2.78</v>
      </c>
    </row>
    <row r="57" spans="1:6" x14ac:dyDescent="0.2">
      <c r="A57" t="s">
        <v>27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28</v>
      </c>
      <c r="B58">
        <v>0.08</v>
      </c>
      <c r="C58">
        <v>0.13</v>
      </c>
      <c r="D58">
        <v>0.13</v>
      </c>
      <c r="E58">
        <v>0.19</v>
      </c>
      <c r="F58">
        <v>0.47</v>
      </c>
    </row>
    <row r="59" spans="1:6" x14ac:dyDescent="0.2">
      <c r="A59" t="s">
        <v>29</v>
      </c>
      <c r="B59">
        <v>0.25</v>
      </c>
      <c r="C59">
        <v>0.4</v>
      </c>
      <c r="D59">
        <v>0.43</v>
      </c>
      <c r="E59">
        <v>0.44</v>
      </c>
      <c r="F59">
        <v>0.78</v>
      </c>
    </row>
    <row r="60" spans="1:6" x14ac:dyDescent="0.2">
      <c r="A60" t="s">
        <v>54</v>
      </c>
      <c r="B60">
        <f>SUM(B48:B59)</f>
        <v>11.299999999999999</v>
      </c>
      <c r="C60">
        <f>SUM(C48:C59)</f>
        <v>13.900000000000002</v>
      </c>
      <c r="D60">
        <f>SUM(D48:D59)</f>
        <v>16.09</v>
      </c>
      <c r="E60">
        <f>SUM(E48:E59)</f>
        <v>16.029999999999998</v>
      </c>
      <c r="F60">
        <f>SUM(F48:F59)</f>
        <v>23.28</v>
      </c>
    </row>
    <row r="61" spans="1:6" x14ac:dyDescent="0.2">
      <c r="B61" t="s">
        <v>45</v>
      </c>
      <c r="C61" t="s">
        <v>45</v>
      </c>
      <c r="D61" t="s">
        <v>45</v>
      </c>
      <c r="E61" t="s">
        <v>45</v>
      </c>
      <c r="F61" t="s">
        <v>45</v>
      </c>
    </row>
    <row r="62" spans="1:6" x14ac:dyDescent="0.2">
      <c r="A62">
        <v>1996</v>
      </c>
      <c r="B62" t="s">
        <v>47</v>
      </c>
      <c r="C62" t="s">
        <v>48</v>
      </c>
      <c r="D62" t="s">
        <v>49</v>
      </c>
      <c r="E62" t="s">
        <v>50</v>
      </c>
      <c r="F62" t="s">
        <v>46</v>
      </c>
    </row>
    <row r="63" spans="1:6" x14ac:dyDescent="0.2">
      <c r="A63" t="s">
        <v>30</v>
      </c>
      <c r="B63">
        <v>0.45</v>
      </c>
      <c r="C63">
        <v>0.79</v>
      </c>
      <c r="D63">
        <v>0.77</v>
      </c>
      <c r="E63">
        <v>0.97</v>
      </c>
      <c r="F63">
        <v>1.35</v>
      </c>
    </row>
    <row r="64" spans="1:6" x14ac:dyDescent="0.2">
      <c r="A64" t="s">
        <v>31</v>
      </c>
      <c r="B64">
        <v>0.26</v>
      </c>
      <c r="C64">
        <v>0.6</v>
      </c>
      <c r="D64">
        <v>0.59</v>
      </c>
      <c r="E64">
        <v>0.55000000000000004</v>
      </c>
      <c r="F64">
        <v>0.76</v>
      </c>
    </row>
    <row r="65" spans="1:6" x14ac:dyDescent="0.2">
      <c r="A65" t="s">
        <v>32</v>
      </c>
      <c r="B65">
        <v>0.08</v>
      </c>
      <c r="C65">
        <v>0.14000000000000001</v>
      </c>
      <c r="D65">
        <v>0.14000000000000001</v>
      </c>
      <c r="E65">
        <v>0.21</v>
      </c>
      <c r="F65">
        <v>0.47</v>
      </c>
    </row>
    <row r="66" spans="1:6" x14ac:dyDescent="0.2">
      <c r="A66" t="s">
        <v>33</v>
      </c>
      <c r="B66">
        <v>0.04</v>
      </c>
      <c r="C66">
        <v>7.0000000000000007E-2</v>
      </c>
      <c r="D66">
        <v>7.0000000000000007E-2</v>
      </c>
      <c r="E66">
        <v>7.0000000000000007E-2</v>
      </c>
      <c r="F66">
        <v>0.17</v>
      </c>
    </row>
    <row r="67" spans="1:6" x14ac:dyDescent="0.2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35</v>
      </c>
      <c r="B68">
        <v>2.17</v>
      </c>
      <c r="C68">
        <v>2.38</v>
      </c>
      <c r="D68">
        <v>2.62</v>
      </c>
      <c r="E68">
        <v>3.77</v>
      </c>
      <c r="F68">
        <v>4.07</v>
      </c>
    </row>
    <row r="69" spans="1:6" x14ac:dyDescent="0.2">
      <c r="A69" t="s">
        <v>36</v>
      </c>
      <c r="B69">
        <v>2.23</v>
      </c>
      <c r="C69">
        <v>2.57</v>
      </c>
      <c r="D69">
        <v>2.86</v>
      </c>
      <c r="E69">
        <v>3.01</v>
      </c>
      <c r="F69">
        <v>4.91</v>
      </c>
    </row>
    <row r="70" spans="1:6" x14ac:dyDescent="0.2">
      <c r="A70" t="s">
        <v>37</v>
      </c>
      <c r="B70">
        <v>1.96</v>
      </c>
      <c r="C70">
        <v>2.97</v>
      </c>
      <c r="D70">
        <v>2.2000000000000002</v>
      </c>
      <c r="E70">
        <v>2.33</v>
      </c>
      <c r="F70">
        <v>3.39</v>
      </c>
    </row>
    <row r="71" spans="1:6" x14ac:dyDescent="0.2">
      <c r="A71" t="s">
        <v>38</v>
      </c>
      <c r="B71">
        <v>1.4</v>
      </c>
      <c r="C71">
        <v>1.45</v>
      </c>
      <c r="D71">
        <v>1.71</v>
      </c>
      <c r="E71">
        <v>2.06</v>
      </c>
      <c r="F71">
        <v>3.86</v>
      </c>
    </row>
    <row r="72" spans="1:6" x14ac:dyDescent="0.2">
      <c r="A72" t="s">
        <v>27</v>
      </c>
      <c r="B72">
        <v>3.46</v>
      </c>
      <c r="C72">
        <v>3.76</v>
      </c>
      <c r="D72">
        <v>4.08</v>
      </c>
      <c r="E72">
        <v>4.0199999999999996</v>
      </c>
      <c r="F72">
        <v>4.17</v>
      </c>
    </row>
    <row r="73" spans="1:6" x14ac:dyDescent="0.2">
      <c r="A73" t="s">
        <v>28</v>
      </c>
      <c r="B73">
        <v>0.18</v>
      </c>
      <c r="C73">
        <v>0.41</v>
      </c>
      <c r="D73">
        <v>0.63</v>
      </c>
      <c r="E73">
        <v>0.55000000000000004</v>
      </c>
      <c r="F73">
        <v>0.76</v>
      </c>
    </row>
    <row r="74" spans="1:6" x14ac:dyDescent="0.2">
      <c r="A74" t="s">
        <v>29</v>
      </c>
      <c r="B74">
        <v>0.11</v>
      </c>
      <c r="C74">
        <v>0.06</v>
      </c>
      <c r="D74">
        <v>0.09</v>
      </c>
      <c r="E74">
        <v>0.06</v>
      </c>
      <c r="F74">
        <v>0.1</v>
      </c>
    </row>
    <row r="75" spans="1:6" x14ac:dyDescent="0.2">
      <c r="A75" t="s">
        <v>54</v>
      </c>
      <c r="B75">
        <f>SUM(B63:B74)</f>
        <v>12.34</v>
      </c>
      <c r="C75">
        <f>SUM(C63:C74)</f>
        <v>15.200000000000001</v>
      </c>
      <c r="D75">
        <f>SUM(D63:D74)</f>
        <v>15.760000000000002</v>
      </c>
      <c r="E75">
        <f>SUM(E63:E74)</f>
        <v>17.600000000000001</v>
      </c>
      <c r="F75">
        <f>SUM(F63:F74)</f>
        <v>24.01</v>
      </c>
    </row>
    <row r="76" spans="1:6" x14ac:dyDescent="0.2">
      <c r="B76" t="s">
        <v>45</v>
      </c>
      <c r="C76" t="s">
        <v>45</v>
      </c>
      <c r="D76" t="s">
        <v>45</v>
      </c>
      <c r="E76" t="s">
        <v>45</v>
      </c>
      <c r="F76" t="s">
        <v>45</v>
      </c>
    </row>
    <row r="77" spans="1:6" x14ac:dyDescent="0.2">
      <c r="A77">
        <v>1997</v>
      </c>
      <c r="B77" t="s">
        <v>47</v>
      </c>
      <c r="C77" t="s">
        <v>48</v>
      </c>
      <c r="D77" t="s">
        <v>49</v>
      </c>
      <c r="E77" t="s">
        <v>50</v>
      </c>
      <c r="F77" t="s">
        <v>46</v>
      </c>
    </row>
    <row r="78" spans="1:6" x14ac:dyDescent="0.2">
      <c r="A78" t="s">
        <v>30</v>
      </c>
      <c r="B78">
        <v>0.67</v>
      </c>
      <c r="C78">
        <v>1.8</v>
      </c>
      <c r="D78">
        <v>1.2</v>
      </c>
      <c r="E78">
        <v>1.51</v>
      </c>
      <c r="F78">
        <v>1.77</v>
      </c>
    </row>
    <row r="79" spans="1:6" x14ac:dyDescent="0.2">
      <c r="A79" t="s">
        <v>31</v>
      </c>
      <c r="B79">
        <v>0.46</v>
      </c>
      <c r="C79">
        <v>1.51</v>
      </c>
      <c r="D79">
        <v>1.68</v>
      </c>
      <c r="E79">
        <v>2.44</v>
      </c>
      <c r="F79">
        <v>2.2599999999999998</v>
      </c>
    </row>
    <row r="80" spans="1:6" x14ac:dyDescent="0.2">
      <c r="A80" t="s">
        <v>32</v>
      </c>
      <c r="B80">
        <v>0.69</v>
      </c>
      <c r="C80">
        <v>0.28000000000000003</v>
      </c>
      <c r="D80">
        <v>0.28999999999999998</v>
      </c>
      <c r="E80">
        <v>0.18</v>
      </c>
      <c r="F80">
        <v>0.19</v>
      </c>
    </row>
    <row r="81" spans="1:6" x14ac:dyDescent="0.2">
      <c r="A81" t="s">
        <v>33</v>
      </c>
      <c r="B81">
        <v>1.41</v>
      </c>
      <c r="C81">
        <v>1.8</v>
      </c>
      <c r="D81">
        <v>2.09</v>
      </c>
      <c r="E81">
        <v>1.95</v>
      </c>
      <c r="F81">
        <v>2.16</v>
      </c>
    </row>
    <row r="82" spans="1:6" x14ac:dyDescent="0.2">
      <c r="A82" t="s">
        <v>34</v>
      </c>
      <c r="B82">
        <v>0.47</v>
      </c>
      <c r="C82">
        <v>0.66</v>
      </c>
      <c r="D82">
        <v>0.99</v>
      </c>
      <c r="E82">
        <v>1.5</v>
      </c>
      <c r="F82">
        <v>1.81</v>
      </c>
    </row>
    <row r="83" spans="1:6" x14ac:dyDescent="0.2">
      <c r="A83" t="s">
        <v>35</v>
      </c>
      <c r="B83">
        <v>2.06</v>
      </c>
      <c r="C83">
        <v>2.39</v>
      </c>
      <c r="D83">
        <v>2.73</v>
      </c>
      <c r="E83">
        <v>1.87</v>
      </c>
      <c r="F83">
        <v>2.1800000000000002</v>
      </c>
    </row>
    <row r="84" spans="1:6" x14ac:dyDescent="0.2">
      <c r="A84" t="s">
        <v>36</v>
      </c>
      <c r="B84">
        <v>1.91</v>
      </c>
      <c r="C84">
        <v>1.92</v>
      </c>
      <c r="D84">
        <v>3.22</v>
      </c>
      <c r="E84">
        <v>2.0099999999999998</v>
      </c>
      <c r="F84">
        <v>2.25</v>
      </c>
    </row>
    <row r="85" spans="1:6" x14ac:dyDescent="0.2">
      <c r="A85" t="s">
        <v>37</v>
      </c>
      <c r="B85">
        <v>3.12</v>
      </c>
      <c r="C85">
        <v>3.96</v>
      </c>
      <c r="D85">
        <v>3.55</v>
      </c>
      <c r="E85">
        <v>3.44</v>
      </c>
      <c r="F85">
        <v>6.47</v>
      </c>
    </row>
    <row r="86" spans="1:6" x14ac:dyDescent="0.2">
      <c r="A86" t="s">
        <v>38</v>
      </c>
      <c r="B86">
        <v>2.02</v>
      </c>
      <c r="C86">
        <v>2.4</v>
      </c>
      <c r="D86">
        <v>2.95</v>
      </c>
      <c r="E86">
        <v>3.75</v>
      </c>
      <c r="F86">
        <v>4.96</v>
      </c>
    </row>
    <row r="87" spans="1:6" x14ac:dyDescent="0.2">
      <c r="A87" t="s">
        <v>27</v>
      </c>
      <c r="B87">
        <v>0.52</v>
      </c>
      <c r="C87">
        <v>0.6</v>
      </c>
      <c r="D87">
        <v>0.77</v>
      </c>
      <c r="E87">
        <v>0.49</v>
      </c>
      <c r="F87">
        <v>0.8</v>
      </c>
    </row>
    <row r="88" spans="1:6" x14ac:dyDescent="0.2">
      <c r="A88" t="s">
        <v>28</v>
      </c>
      <c r="B88">
        <v>0.78</v>
      </c>
      <c r="C88">
        <v>1.1599999999999999</v>
      </c>
      <c r="D88">
        <v>1.55</v>
      </c>
      <c r="E88">
        <v>1.4</v>
      </c>
      <c r="F88">
        <v>1.17</v>
      </c>
    </row>
    <row r="89" spans="1:6" x14ac:dyDescent="0.2">
      <c r="A89" t="s">
        <v>29</v>
      </c>
      <c r="B89">
        <v>0.18</v>
      </c>
      <c r="C89">
        <v>1.6</v>
      </c>
      <c r="D89">
        <v>1.67</v>
      </c>
      <c r="E89">
        <v>1.69</v>
      </c>
      <c r="F89">
        <v>2.11</v>
      </c>
    </row>
    <row r="90" spans="1:6" x14ac:dyDescent="0.2">
      <c r="A90" t="s">
        <v>54</v>
      </c>
      <c r="B90">
        <f>SUM(B78:B89)</f>
        <v>14.289999999999997</v>
      </c>
      <c r="C90">
        <f>SUM(C78:C89)</f>
        <v>20.080000000000002</v>
      </c>
      <c r="D90">
        <f>SUM(D78:D89)</f>
        <v>22.689999999999998</v>
      </c>
      <c r="E90">
        <f>SUM(E78:E89)</f>
        <v>22.229999999999997</v>
      </c>
      <c r="F90">
        <f>SUM(F78:F89)</f>
        <v>28.130000000000003</v>
      </c>
    </row>
    <row r="91" spans="1:6" x14ac:dyDescent="0.2">
      <c r="B91" t="s">
        <v>45</v>
      </c>
      <c r="C91" t="s">
        <v>45</v>
      </c>
      <c r="D91" t="s">
        <v>45</v>
      </c>
      <c r="E91" t="s">
        <v>45</v>
      </c>
      <c r="F91" t="s">
        <v>45</v>
      </c>
    </row>
    <row r="92" spans="1:6" x14ac:dyDescent="0.2">
      <c r="A92">
        <v>1998</v>
      </c>
      <c r="B92" t="s">
        <v>47</v>
      </c>
      <c r="C92" t="s">
        <v>48</v>
      </c>
      <c r="D92" t="s">
        <v>49</v>
      </c>
      <c r="E92" t="s">
        <v>50</v>
      </c>
      <c r="F92" t="s">
        <v>46</v>
      </c>
    </row>
    <row r="93" spans="1:6" x14ac:dyDescent="0.2">
      <c r="A93" t="s">
        <v>30</v>
      </c>
      <c r="B93">
        <v>0.05</v>
      </c>
      <c r="C93">
        <v>0.03</v>
      </c>
      <c r="D93">
        <v>0.9</v>
      </c>
      <c r="E93">
        <v>0.05</v>
      </c>
      <c r="F93">
        <v>0.15</v>
      </c>
    </row>
    <row r="94" spans="1:6" x14ac:dyDescent="0.2">
      <c r="A94" t="s">
        <v>31</v>
      </c>
      <c r="B94">
        <v>0.17</v>
      </c>
      <c r="C94">
        <v>0.27</v>
      </c>
      <c r="D94">
        <v>0.44</v>
      </c>
      <c r="E94">
        <v>0.31</v>
      </c>
      <c r="F94">
        <v>0.56999999999999995</v>
      </c>
    </row>
    <row r="95" spans="1:6" x14ac:dyDescent="0.2">
      <c r="A95" t="s">
        <v>32</v>
      </c>
      <c r="B95">
        <v>1.38</v>
      </c>
      <c r="C95">
        <v>1.57</v>
      </c>
      <c r="D95">
        <v>2.09</v>
      </c>
      <c r="E95">
        <v>1.47</v>
      </c>
      <c r="F95">
        <v>1.86</v>
      </c>
    </row>
    <row r="96" spans="1:6" x14ac:dyDescent="0.2">
      <c r="A96" t="s">
        <v>33</v>
      </c>
      <c r="B96">
        <v>0.51</v>
      </c>
      <c r="C96">
        <v>0.63</v>
      </c>
      <c r="D96">
        <v>0.81</v>
      </c>
      <c r="E96">
        <v>0.66</v>
      </c>
      <c r="F96">
        <v>0.77</v>
      </c>
    </row>
    <row r="97" spans="1:6" x14ac:dyDescent="0.2">
      <c r="A97" t="s">
        <v>34</v>
      </c>
      <c r="B97">
        <v>0</v>
      </c>
      <c r="C97">
        <v>0.01</v>
      </c>
      <c r="D97">
        <v>0.01</v>
      </c>
      <c r="E97">
        <v>0.01</v>
      </c>
      <c r="F97">
        <v>0.02</v>
      </c>
    </row>
    <row r="98" spans="1:6" x14ac:dyDescent="0.2">
      <c r="A98" t="s">
        <v>35</v>
      </c>
      <c r="B98">
        <v>0.28999999999999998</v>
      </c>
      <c r="C98">
        <v>0.4</v>
      </c>
      <c r="D98">
        <v>0.43</v>
      </c>
      <c r="E98">
        <v>0.43</v>
      </c>
      <c r="F98">
        <v>0.51</v>
      </c>
    </row>
    <row r="99" spans="1:6" x14ac:dyDescent="0.2">
      <c r="A99" t="s">
        <v>36</v>
      </c>
      <c r="B99">
        <v>1.98</v>
      </c>
      <c r="C99">
        <v>2.56</v>
      </c>
      <c r="D99">
        <v>2.94</v>
      </c>
      <c r="E99">
        <v>4.99</v>
      </c>
      <c r="F99">
        <v>6.11</v>
      </c>
    </row>
    <row r="100" spans="1:6" x14ac:dyDescent="0.2">
      <c r="A100" t="s">
        <v>37</v>
      </c>
      <c r="B100">
        <v>1.62</v>
      </c>
      <c r="C100">
        <v>2.08</v>
      </c>
      <c r="D100">
        <v>3.41</v>
      </c>
      <c r="E100">
        <v>2.84</v>
      </c>
      <c r="F100">
        <v>3.57</v>
      </c>
    </row>
    <row r="101" spans="1:6" x14ac:dyDescent="0.2">
      <c r="A101" t="s">
        <v>38</v>
      </c>
      <c r="B101">
        <v>0.8</v>
      </c>
      <c r="C101">
        <v>0.77</v>
      </c>
      <c r="D101">
        <v>1.02</v>
      </c>
      <c r="E101">
        <v>0.81</v>
      </c>
      <c r="F101">
        <v>0.87</v>
      </c>
    </row>
    <row r="102" spans="1:6" x14ac:dyDescent="0.2">
      <c r="A102" t="s">
        <v>27</v>
      </c>
      <c r="B102">
        <v>2.91</v>
      </c>
      <c r="C102">
        <v>3.72</v>
      </c>
      <c r="D102">
        <v>3.98</v>
      </c>
      <c r="E102">
        <v>3.12</v>
      </c>
      <c r="F102">
        <v>4.8499999999999996</v>
      </c>
    </row>
    <row r="103" spans="1:6" x14ac:dyDescent="0.2">
      <c r="A103" t="s">
        <v>28</v>
      </c>
      <c r="B103">
        <v>0.23</v>
      </c>
      <c r="C103">
        <v>0.34</v>
      </c>
      <c r="D103">
        <v>0.45</v>
      </c>
      <c r="E103">
        <v>0.41</v>
      </c>
      <c r="F103">
        <v>0.8</v>
      </c>
    </row>
    <row r="104" spans="1:6" x14ac:dyDescent="0.2">
      <c r="A104" t="s">
        <v>29</v>
      </c>
      <c r="B104">
        <v>0</v>
      </c>
      <c r="C104">
        <v>0.05</v>
      </c>
      <c r="D104">
        <v>7.0000000000000007E-2</v>
      </c>
      <c r="E104">
        <v>0.05</v>
      </c>
      <c r="F104">
        <v>7.0000000000000007E-2</v>
      </c>
    </row>
    <row r="105" spans="1:6" x14ac:dyDescent="0.2">
      <c r="A105" t="s">
        <v>54</v>
      </c>
      <c r="B105">
        <f>SUM(B93:B104)</f>
        <v>9.9400000000000013</v>
      </c>
      <c r="C105">
        <f>SUM(C93:C104)</f>
        <v>12.430000000000001</v>
      </c>
      <c r="D105">
        <f>SUM(D93:D104)</f>
        <v>16.549999999999997</v>
      </c>
      <c r="E105">
        <f>SUM(E93:E104)</f>
        <v>15.150000000000002</v>
      </c>
      <c r="F105">
        <f>SUM(F93:F104)</f>
        <v>20.150000000000002</v>
      </c>
    </row>
    <row r="106" spans="1:6" x14ac:dyDescent="0.2">
      <c r="B106" t="s">
        <v>45</v>
      </c>
      <c r="C106" t="s">
        <v>45</v>
      </c>
      <c r="D106" t="s">
        <v>45</v>
      </c>
      <c r="E106" t="s">
        <v>45</v>
      </c>
      <c r="F106" t="s">
        <v>45</v>
      </c>
    </row>
    <row r="107" spans="1:6" x14ac:dyDescent="0.2">
      <c r="A107">
        <v>1999</v>
      </c>
      <c r="B107" t="s">
        <v>47</v>
      </c>
      <c r="C107" t="s">
        <v>48</v>
      </c>
      <c r="D107" t="s">
        <v>49</v>
      </c>
      <c r="E107" t="s">
        <v>50</v>
      </c>
      <c r="F107" t="s">
        <v>46</v>
      </c>
    </row>
    <row r="108" spans="1:6" x14ac:dyDescent="0.2">
      <c r="A108" t="s">
        <v>30</v>
      </c>
      <c r="B108">
        <v>7.0000000000000007E-2</v>
      </c>
      <c r="C108">
        <v>0.13</v>
      </c>
      <c r="D108">
        <v>0.15</v>
      </c>
      <c r="E108">
        <v>0.08</v>
      </c>
      <c r="F108">
        <v>0.18</v>
      </c>
    </row>
    <row r="109" spans="1:6" x14ac:dyDescent="0.2">
      <c r="A109" t="s">
        <v>31</v>
      </c>
      <c r="B109">
        <v>0</v>
      </c>
      <c r="C109">
        <v>0.01</v>
      </c>
      <c r="D109">
        <v>0.01</v>
      </c>
      <c r="E109">
        <v>0.05</v>
      </c>
      <c r="F109">
        <v>0.13</v>
      </c>
    </row>
    <row r="110" spans="1:6" x14ac:dyDescent="0.2">
      <c r="A110" t="s">
        <v>32</v>
      </c>
      <c r="B110" t="s">
        <v>52</v>
      </c>
      <c r="C110">
        <v>1.33</v>
      </c>
      <c r="D110">
        <v>1.69</v>
      </c>
      <c r="E110">
        <v>1.36</v>
      </c>
      <c r="F110">
        <v>1.55</v>
      </c>
    </row>
    <row r="111" spans="1:6" x14ac:dyDescent="0.2">
      <c r="A111" t="s">
        <v>33</v>
      </c>
      <c r="B111" t="s">
        <v>45</v>
      </c>
      <c r="C111">
        <v>1.98</v>
      </c>
      <c r="D111">
        <v>2.12</v>
      </c>
      <c r="E111">
        <v>2.17</v>
      </c>
      <c r="F111">
        <v>3.41</v>
      </c>
    </row>
    <row r="112" spans="1:6" x14ac:dyDescent="0.2">
      <c r="A112" t="s">
        <v>34</v>
      </c>
      <c r="B112" t="s">
        <v>53</v>
      </c>
      <c r="C112">
        <v>1.61</v>
      </c>
      <c r="D112">
        <v>2.08</v>
      </c>
      <c r="E112">
        <v>1.63</v>
      </c>
      <c r="F112">
        <v>2.57</v>
      </c>
    </row>
    <row r="113" spans="1:6" x14ac:dyDescent="0.2">
      <c r="A113" t="s">
        <v>35</v>
      </c>
      <c r="B113">
        <v>1.01</v>
      </c>
      <c r="C113">
        <v>2.0699999999999998</v>
      </c>
      <c r="D113">
        <v>2.46</v>
      </c>
      <c r="E113">
        <v>1.86</v>
      </c>
      <c r="F113">
        <v>2.1800000000000002</v>
      </c>
    </row>
    <row r="114" spans="1:6" x14ac:dyDescent="0.2">
      <c r="A114" t="s">
        <v>36</v>
      </c>
      <c r="B114">
        <v>0.76</v>
      </c>
      <c r="C114">
        <v>2.35</v>
      </c>
      <c r="D114">
        <v>3.02</v>
      </c>
      <c r="E114">
        <v>2.65</v>
      </c>
      <c r="F114">
        <v>4.49</v>
      </c>
    </row>
    <row r="115" spans="1:6" x14ac:dyDescent="0.2">
      <c r="A115" t="s">
        <v>37</v>
      </c>
      <c r="B115">
        <v>0.2</v>
      </c>
      <c r="C115">
        <v>2.74</v>
      </c>
      <c r="D115">
        <v>3.56</v>
      </c>
      <c r="E115">
        <v>3.15</v>
      </c>
      <c r="F115">
        <v>2.06</v>
      </c>
    </row>
    <row r="116" spans="1:6" x14ac:dyDescent="0.2">
      <c r="A116" t="s">
        <v>38</v>
      </c>
      <c r="B116">
        <v>0.08</v>
      </c>
      <c r="C116">
        <v>2.44</v>
      </c>
      <c r="D116">
        <v>2.2799999999999998</v>
      </c>
      <c r="E116">
        <v>1.88</v>
      </c>
      <c r="F116">
        <v>2.2999999999999998</v>
      </c>
    </row>
    <row r="117" spans="1:6" x14ac:dyDescent="0.2">
      <c r="A117" t="s">
        <v>27</v>
      </c>
      <c r="B117">
        <v>0.19</v>
      </c>
      <c r="C117">
        <v>0.51</v>
      </c>
      <c r="D117">
        <v>0.52</v>
      </c>
      <c r="E117">
        <v>0.51</v>
      </c>
      <c r="F117">
        <v>1.74</v>
      </c>
    </row>
    <row r="118" spans="1:6" x14ac:dyDescent="0.2">
      <c r="A118" t="s">
        <v>28</v>
      </c>
      <c r="B118" t="s">
        <v>45</v>
      </c>
      <c r="C118">
        <v>0.05</v>
      </c>
      <c r="D118">
        <v>0.02</v>
      </c>
      <c r="E118">
        <v>0.01</v>
      </c>
      <c r="F118">
        <v>0.03</v>
      </c>
    </row>
    <row r="119" spans="1:6" x14ac:dyDescent="0.2">
      <c r="A119" t="s">
        <v>29</v>
      </c>
      <c r="B119" t="s">
        <v>45</v>
      </c>
      <c r="C119">
        <v>0.56000000000000005</v>
      </c>
      <c r="D119">
        <v>0.38629999999999998</v>
      </c>
      <c r="E119">
        <v>0.2</v>
      </c>
      <c r="F119">
        <v>0.48</v>
      </c>
    </row>
    <row r="120" spans="1:6" x14ac:dyDescent="0.2">
      <c r="A120" t="s">
        <v>54</v>
      </c>
      <c r="B120" s="23">
        <f>SUM(B108:B119)</f>
        <v>2.31</v>
      </c>
      <c r="C120" s="23">
        <f>SUM(C108:C119)</f>
        <v>15.780000000000001</v>
      </c>
      <c r="D120" s="23">
        <f>SUM(D108:D119)</f>
        <v>18.296299999999999</v>
      </c>
      <c r="E120" s="23">
        <f>SUM(E108:E119)</f>
        <v>15.55</v>
      </c>
      <c r="F120" s="23">
        <f>SUM(F108:F119)</f>
        <v>21.12</v>
      </c>
    </row>
    <row r="121" spans="1:6" x14ac:dyDescent="0.2">
      <c r="B121" t="s">
        <v>45</v>
      </c>
      <c r="C121" t="s">
        <v>45</v>
      </c>
      <c r="D121" t="s">
        <v>45</v>
      </c>
      <c r="E121" t="s">
        <v>45</v>
      </c>
      <c r="F121" t="s">
        <v>45</v>
      </c>
    </row>
    <row r="122" spans="1:6" x14ac:dyDescent="0.2">
      <c r="A122">
        <v>2000</v>
      </c>
      <c r="B122" t="s">
        <v>47</v>
      </c>
      <c r="C122" t="s">
        <v>48</v>
      </c>
      <c r="D122" t="s">
        <v>49</v>
      </c>
      <c r="E122" t="s">
        <v>50</v>
      </c>
      <c r="F122" t="s">
        <v>46</v>
      </c>
    </row>
    <row r="123" spans="1:6" x14ac:dyDescent="0.2">
      <c r="A123" t="s">
        <v>30</v>
      </c>
      <c r="B123" t="s">
        <v>45</v>
      </c>
      <c r="C123">
        <v>0.36</v>
      </c>
      <c r="D123">
        <v>0.40610000000000002</v>
      </c>
      <c r="E123">
        <v>0.24</v>
      </c>
      <c r="F123">
        <v>0.37</v>
      </c>
    </row>
    <row r="124" spans="1:6" x14ac:dyDescent="0.2">
      <c r="A124" t="s">
        <v>31</v>
      </c>
      <c r="B124" t="s">
        <v>45</v>
      </c>
      <c r="C124">
        <v>1.4999999999999999E-2</v>
      </c>
      <c r="D124">
        <v>9.9059999999999995E-2</v>
      </c>
      <c r="E124">
        <v>0.02</v>
      </c>
      <c r="F124">
        <v>0.17</v>
      </c>
    </row>
    <row r="125" spans="1:6" x14ac:dyDescent="0.2">
      <c r="A125" t="s">
        <v>32</v>
      </c>
      <c r="B125" t="s">
        <v>45</v>
      </c>
      <c r="C125">
        <v>0.89</v>
      </c>
      <c r="D125">
        <v>0.86180000000000001</v>
      </c>
      <c r="E125">
        <v>1.04</v>
      </c>
      <c r="F125">
        <v>1.78</v>
      </c>
    </row>
    <row r="126" spans="1:6" x14ac:dyDescent="0.2">
      <c r="A126" t="s">
        <v>33</v>
      </c>
      <c r="B126">
        <v>0.1</v>
      </c>
      <c r="C126">
        <v>0.36</v>
      </c>
      <c r="D126">
        <v>0.40610000000000002</v>
      </c>
      <c r="E126">
        <v>0.35</v>
      </c>
      <c r="F126">
        <v>0.44</v>
      </c>
    </row>
    <row r="127" spans="1:6" x14ac:dyDescent="0.2">
      <c r="A127" t="s">
        <v>34</v>
      </c>
      <c r="B127">
        <v>0</v>
      </c>
      <c r="C127">
        <v>0.01</v>
      </c>
      <c r="D127">
        <v>0.01</v>
      </c>
      <c r="E127">
        <v>0.15</v>
      </c>
      <c r="F127">
        <v>0.05</v>
      </c>
    </row>
    <row r="128" spans="1:6" x14ac:dyDescent="0.2">
      <c r="A128" t="s">
        <v>35</v>
      </c>
      <c r="B128">
        <v>1.4</v>
      </c>
      <c r="C128">
        <v>1.77</v>
      </c>
      <c r="D128">
        <v>1.4859</v>
      </c>
      <c r="E128">
        <v>1.56</v>
      </c>
      <c r="F128">
        <v>1.94</v>
      </c>
    </row>
    <row r="129" spans="1:6" x14ac:dyDescent="0.2">
      <c r="A129" t="s">
        <v>36</v>
      </c>
      <c r="B129">
        <v>0.57999999999999996</v>
      </c>
      <c r="C129">
        <v>1.1499999999999999</v>
      </c>
      <c r="D129">
        <v>1.1491</v>
      </c>
      <c r="E129">
        <v>1.88</v>
      </c>
      <c r="F129">
        <v>2.94</v>
      </c>
    </row>
    <row r="130" spans="1:6" x14ac:dyDescent="0.2">
      <c r="A130" t="s">
        <v>37</v>
      </c>
      <c r="B130">
        <v>1.75</v>
      </c>
      <c r="C130">
        <v>3.47</v>
      </c>
      <c r="D130">
        <v>3.2193999999999998</v>
      </c>
      <c r="E130">
        <v>2.74</v>
      </c>
      <c r="F130">
        <v>0.01</v>
      </c>
    </row>
    <row r="131" spans="1:6" x14ac:dyDescent="0.2">
      <c r="A131" t="s">
        <v>38</v>
      </c>
      <c r="B131">
        <v>0.32</v>
      </c>
      <c r="C131">
        <v>0.36</v>
      </c>
      <c r="D131">
        <v>0.47549999999999998</v>
      </c>
      <c r="E131">
        <v>0.34</v>
      </c>
      <c r="F131">
        <v>0.06</v>
      </c>
    </row>
    <row r="132" spans="1:6" x14ac:dyDescent="0.2">
      <c r="A132" t="s">
        <v>27</v>
      </c>
      <c r="B132">
        <v>3.41</v>
      </c>
      <c r="C132">
        <v>3.48</v>
      </c>
      <c r="D132">
        <v>3.903</v>
      </c>
      <c r="E132">
        <v>3.97</v>
      </c>
      <c r="F132">
        <v>3.54</v>
      </c>
    </row>
    <row r="133" spans="1:6" x14ac:dyDescent="0.2">
      <c r="A133" t="s">
        <v>28</v>
      </c>
      <c r="B133">
        <v>1.35</v>
      </c>
      <c r="C133">
        <v>1.76</v>
      </c>
      <c r="D133">
        <v>1.6344000000000001</v>
      </c>
      <c r="E133">
        <v>1.83</v>
      </c>
      <c r="F133">
        <v>1.55</v>
      </c>
    </row>
    <row r="134" spans="1:6" x14ac:dyDescent="0.2">
      <c r="A134" t="s">
        <v>29</v>
      </c>
      <c r="B134">
        <v>0.36</v>
      </c>
      <c r="C134">
        <v>0.25</v>
      </c>
      <c r="D134">
        <v>0.45569999999999999</v>
      </c>
      <c r="E134">
        <v>0.26</v>
      </c>
      <c r="F134">
        <v>0.54</v>
      </c>
    </row>
    <row r="135" spans="1:6" x14ac:dyDescent="0.2">
      <c r="A135" t="s">
        <v>54</v>
      </c>
      <c r="B135" s="23">
        <f>SUM(B123:B134)</f>
        <v>9.27</v>
      </c>
      <c r="C135" s="23">
        <f>SUM(C123:C134)</f>
        <v>13.875</v>
      </c>
      <c r="D135" s="23">
        <f>SUM(D123:D134)</f>
        <v>14.106059999999999</v>
      </c>
      <c r="E135" s="23">
        <f>SUM(E123:E134)</f>
        <v>14.38</v>
      </c>
      <c r="F135" s="23">
        <f>SUM(F123:F134)</f>
        <v>13.39</v>
      </c>
    </row>
    <row r="136" spans="1:6" x14ac:dyDescent="0.2">
      <c r="B136" t="s">
        <v>45</v>
      </c>
      <c r="C136" t="s">
        <v>45</v>
      </c>
      <c r="D136" t="s">
        <v>45</v>
      </c>
      <c r="E136" t="s">
        <v>45</v>
      </c>
      <c r="F136" t="s">
        <v>45</v>
      </c>
    </row>
    <row r="137" spans="1:6" x14ac:dyDescent="0.2">
      <c r="A137">
        <v>2001</v>
      </c>
      <c r="B137" t="s">
        <v>47</v>
      </c>
      <c r="C137" t="s">
        <v>48</v>
      </c>
      <c r="D137" t="s">
        <v>49</v>
      </c>
      <c r="E137" t="s">
        <v>50</v>
      </c>
      <c r="F137" t="s">
        <v>46</v>
      </c>
    </row>
    <row r="138" spans="1:6" x14ac:dyDescent="0.2">
      <c r="A138" t="s">
        <v>30</v>
      </c>
      <c r="B138">
        <v>0.47</v>
      </c>
      <c r="C138">
        <v>1.6</v>
      </c>
      <c r="D138">
        <v>1.7830999999999999</v>
      </c>
      <c r="E138">
        <v>2.14</v>
      </c>
      <c r="F138">
        <v>3.23</v>
      </c>
    </row>
    <row r="139" spans="1:6" x14ac:dyDescent="0.2">
      <c r="A139" t="s">
        <v>31</v>
      </c>
      <c r="B139">
        <v>0.99</v>
      </c>
      <c r="C139">
        <v>0.6</v>
      </c>
      <c r="D139">
        <v>0.8024</v>
      </c>
      <c r="E139">
        <v>0.83</v>
      </c>
      <c r="F139">
        <v>0.93</v>
      </c>
    </row>
    <row r="140" spans="1:6" x14ac:dyDescent="0.2">
      <c r="A140" t="s">
        <v>32</v>
      </c>
      <c r="B140">
        <v>0.61</v>
      </c>
      <c r="C140">
        <v>0.55000000000000004</v>
      </c>
      <c r="D140">
        <v>0.75349999999999995</v>
      </c>
      <c r="E140">
        <v>0.89</v>
      </c>
      <c r="F140">
        <v>1.31</v>
      </c>
    </row>
    <row r="141" spans="1:6" x14ac:dyDescent="0.2">
      <c r="A141" t="s">
        <v>33</v>
      </c>
      <c r="B141">
        <v>0.59</v>
      </c>
      <c r="C141">
        <v>0.6</v>
      </c>
      <c r="D141">
        <v>1.0104</v>
      </c>
      <c r="E141">
        <v>1.1299999999999999</v>
      </c>
      <c r="F141">
        <v>1.25</v>
      </c>
    </row>
    <row r="142" spans="1:6" x14ac:dyDescent="0.2">
      <c r="A142" t="s">
        <v>34</v>
      </c>
      <c r="B142">
        <v>0.67</v>
      </c>
      <c r="C142">
        <v>0.69</v>
      </c>
      <c r="D142">
        <v>0.84199999999999997</v>
      </c>
      <c r="E142">
        <v>0.86</v>
      </c>
      <c r="F142">
        <v>0.48</v>
      </c>
    </row>
    <row r="143" spans="1:6" x14ac:dyDescent="0.2">
      <c r="A143" t="s">
        <v>35</v>
      </c>
      <c r="B143" t="s">
        <v>45</v>
      </c>
      <c r="C143">
        <v>0.42</v>
      </c>
      <c r="D143">
        <v>0.85189999999999999</v>
      </c>
      <c r="E143">
        <v>0.76</v>
      </c>
      <c r="F143">
        <v>0.43</v>
      </c>
    </row>
    <row r="144" spans="1:6" x14ac:dyDescent="0.2">
      <c r="A144" t="s">
        <v>36</v>
      </c>
      <c r="B144">
        <v>1.69</v>
      </c>
      <c r="C144">
        <v>2.21</v>
      </c>
      <c r="D144">
        <v>2.0802999999999998</v>
      </c>
      <c r="E144">
        <v>1.63</v>
      </c>
      <c r="F144">
        <v>1.32</v>
      </c>
    </row>
    <row r="145" spans="1:6" x14ac:dyDescent="0.2">
      <c r="A145" t="s">
        <v>37</v>
      </c>
      <c r="B145">
        <v>1.91</v>
      </c>
      <c r="C145">
        <v>2.08</v>
      </c>
      <c r="D145">
        <v>1.6939</v>
      </c>
      <c r="E145">
        <v>2.42</v>
      </c>
      <c r="F145">
        <v>2.84</v>
      </c>
    </row>
    <row r="146" spans="1:6" x14ac:dyDescent="0.2">
      <c r="A146" t="s">
        <v>38</v>
      </c>
      <c r="B146">
        <v>0.26</v>
      </c>
      <c r="C146">
        <v>0.42</v>
      </c>
      <c r="D146">
        <v>0.40610000000000002</v>
      </c>
      <c r="E146">
        <v>0.4</v>
      </c>
      <c r="F146">
        <v>0.21</v>
      </c>
    </row>
    <row r="147" spans="1:6" x14ac:dyDescent="0.2">
      <c r="A147" t="s">
        <v>27</v>
      </c>
      <c r="B147">
        <v>0.21</v>
      </c>
      <c r="C147">
        <v>0.27</v>
      </c>
      <c r="D147">
        <v>0.38629999999999998</v>
      </c>
      <c r="E147">
        <v>0.17</v>
      </c>
      <c r="F147">
        <v>0.16</v>
      </c>
    </row>
    <row r="148" spans="1:6" x14ac:dyDescent="0.2">
      <c r="A148" t="s">
        <v>28</v>
      </c>
      <c r="B148">
        <v>0.1</v>
      </c>
      <c r="C148">
        <v>0.26</v>
      </c>
      <c r="D148">
        <v>0.21029999999999999</v>
      </c>
      <c r="E148">
        <v>0.39</v>
      </c>
      <c r="F148">
        <v>0.52</v>
      </c>
    </row>
    <row r="149" spans="1:6" x14ac:dyDescent="0.2">
      <c r="A149" t="s">
        <v>29</v>
      </c>
      <c r="B149">
        <v>0.04</v>
      </c>
      <c r="C149">
        <v>0.24</v>
      </c>
      <c r="D149">
        <v>7.9200000000000007E-2</v>
      </c>
      <c r="E149">
        <v>0.18</v>
      </c>
      <c r="F149">
        <v>0.2</v>
      </c>
    </row>
    <row r="150" spans="1:6" x14ac:dyDescent="0.2">
      <c r="A150" t="s">
        <v>54</v>
      </c>
      <c r="B150" s="23">
        <f>SUM(B138:B149)</f>
        <v>7.5399999999999991</v>
      </c>
      <c r="C150" s="23">
        <f>SUM(C138:C149)</f>
        <v>9.94</v>
      </c>
      <c r="D150" s="23">
        <f>SUM(D138:D149)</f>
        <v>10.899399999999998</v>
      </c>
      <c r="E150" s="23">
        <f>SUM(E138:E149)</f>
        <v>11.8</v>
      </c>
      <c r="F150" s="23">
        <f>SUM(F138:F149)</f>
        <v>12.88</v>
      </c>
    </row>
    <row r="151" spans="1:6" x14ac:dyDescent="0.2">
      <c r="B151" t="s">
        <v>45</v>
      </c>
      <c r="C151" t="s">
        <v>45</v>
      </c>
      <c r="D151" t="s">
        <v>45</v>
      </c>
      <c r="E151" t="s">
        <v>45</v>
      </c>
      <c r="F151" t="s">
        <v>45</v>
      </c>
    </row>
    <row r="152" spans="1:6" x14ac:dyDescent="0.2">
      <c r="A152">
        <v>2002</v>
      </c>
      <c r="B152" t="s">
        <v>47</v>
      </c>
      <c r="C152" t="s">
        <v>48</v>
      </c>
      <c r="D152" t="s">
        <v>49</v>
      </c>
      <c r="E152" t="s">
        <v>50</v>
      </c>
      <c r="F152" t="s">
        <v>46</v>
      </c>
    </row>
    <row r="153" spans="1:6" x14ac:dyDescent="0.2">
      <c r="A153" t="s">
        <v>30</v>
      </c>
      <c r="B153">
        <v>0.24</v>
      </c>
      <c r="C153">
        <v>0.61</v>
      </c>
      <c r="D153">
        <v>0.18820000000000001</v>
      </c>
      <c r="E153">
        <v>0.76</v>
      </c>
      <c r="F153">
        <v>0.59</v>
      </c>
    </row>
    <row r="154" spans="1:6" x14ac:dyDescent="0.2">
      <c r="A154" t="s">
        <v>31</v>
      </c>
      <c r="B154">
        <v>0.12</v>
      </c>
      <c r="C154">
        <v>0.06</v>
      </c>
      <c r="D154">
        <v>0.01</v>
      </c>
      <c r="E154">
        <v>0.01</v>
      </c>
      <c r="F154">
        <v>0.08</v>
      </c>
    </row>
    <row r="155" spans="1:6" x14ac:dyDescent="0.2">
      <c r="A155" t="s">
        <v>32</v>
      </c>
      <c r="B155">
        <v>0</v>
      </c>
      <c r="C155">
        <v>0</v>
      </c>
      <c r="D155">
        <v>0.01</v>
      </c>
      <c r="E155">
        <v>0.01</v>
      </c>
      <c r="F155">
        <v>0.12</v>
      </c>
    </row>
    <row r="156" spans="1:6" x14ac:dyDescent="0.2">
      <c r="A156" t="s">
        <v>33</v>
      </c>
      <c r="B156">
        <v>0</v>
      </c>
      <c r="C156">
        <v>0.17</v>
      </c>
      <c r="D156">
        <v>0.2278</v>
      </c>
      <c r="E156">
        <v>0.28000000000000003</v>
      </c>
      <c r="F156">
        <v>0.24</v>
      </c>
    </row>
    <row r="157" spans="1:6" x14ac:dyDescent="0.2">
      <c r="A157" t="s">
        <v>34</v>
      </c>
      <c r="B157">
        <v>0</v>
      </c>
      <c r="C157">
        <v>7.0000000000000007E-2</v>
      </c>
      <c r="D157">
        <v>0</v>
      </c>
      <c r="E157">
        <v>0.01</v>
      </c>
      <c r="F157">
        <v>0</v>
      </c>
    </row>
    <row r="158" spans="1:6" x14ac:dyDescent="0.2">
      <c r="A158" t="s">
        <v>35</v>
      </c>
      <c r="B158">
        <v>0.32</v>
      </c>
      <c r="C158">
        <v>0.36</v>
      </c>
      <c r="D158">
        <v>0.33679999999999999</v>
      </c>
      <c r="E158">
        <v>0.86</v>
      </c>
      <c r="F158">
        <v>1.7</v>
      </c>
    </row>
    <row r="159" spans="1:6" x14ac:dyDescent="0.2">
      <c r="A159" t="s">
        <v>36</v>
      </c>
      <c r="B159">
        <v>0.5</v>
      </c>
      <c r="C159">
        <v>0.68</v>
      </c>
      <c r="D159">
        <v>0.93120000000000003</v>
      </c>
      <c r="E159">
        <v>1.04</v>
      </c>
      <c r="F159">
        <v>1.29</v>
      </c>
    </row>
    <row r="160" spans="1:6" x14ac:dyDescent="0.2">
      <c r="A160" t="s">
        <v>37</v>
      </c>
      <c r="B160">
        <v>1</v>
      </c>
      <c r="C160">
        <v>0.97</v>
      </c>
      <c r="D160">
        <v>0.8</v>
      </c>
      <c r="E160">
        <v>0.79</v>
      </c>
      <c r="F160">
        <v>0.77</v>
      </c>
    </row>
    <row r="161" spans="1:6" x14ac:dyDescent="0.2">
      <c r="A161" t="s">
        <v>38</v>
      </c>
      <c r="B161">
        <v>1.64</v>
      </c>
      <c r="C161">
        <v>1.66</v>
      </c>
      <c r="D161">
        <v>1.7633000000000001</v>
      </c>
      <c r="E161">
        <v>2.0699999999999998</v>
      </c>
      <c r="F161">
        <v>3.12</v>
      </c>
    </row>
    <row r="162" spans="1:6" x14ac:dyDescent="0.2">
      <c r="A162" t="s">
        <v>27</v>
      </c>
      <c r="B162">
        <v>1.92</v>
      </c>
      <c r="C162">
        <v>1.9</v>
      </c>
      <c r="D162">
        <v>2</v>
      </c>
      <c r="E162">
        <v>1.49</v>
      </c>
      <c r="F162">
        <v>1.01</v>
      </c>
    </row>
    <row r="163" spans="1:6" x14ac:dyDescent="0.2">
      <c r="A163" t="s">
        <v>28</v>
      </c>
      <c r="B163">
        <v>0.71</v>
      </c>
      <c r="C163">
        <v>0.77</v>
      </c>
      <c r="D163">
        <v>0.86</v>
      </c>
      <c r="E163">
        <v>1.1100000000000001</v>
      </c>
      <c r="F163">
        <v>1.31</v>
      </c>
    </row>
    <row r="164" spans="1:6" x14ac:dyDescent="0.2">
      <c r="A164" t="s">
        <v>29</v>
      </c>
      <c r="B164">
        <v>0.82</v>
      </c>
      <c r="C164">
        <v>0.8</v>
      </c>
      <c r="D164">
        <v>1.1000000000000001</v>
      </c>
      <c r="E164">
        <v>0.8</v>
      </c>
      <c r="F164">
        <v>1.23</v>
      </c>
    </row>
    <row r="165" spans="1:6" x14ac:dyDescent="0.2">
      <c r="A165" t="s">
        <v>54</v>
      </c>
      <c r="B165" s="23">
        <f>SUM(B153:B164)</f>
        <v>7.27</v>
      </c>
      <c r="C165" s="23">
        <f>SUM(C153:C164)</f>
        <v>8.0500000000000007</v>
      </c>
      <c r="D165" s="23">
        <f>SUM(D153:D164)</f>
        <v>8.2273000000000014</v>
      </c>
      <c r="E165" s="23">
        <f>SUM(E153:E164)</f>
        <v>9.23</v>
      </c>
      <c r="F165" s="23">
        <f>SUM(F153:F164)</f>
        <v>11.46</v>
      </c>
    </row>
    <row r="167" spans="1:6" x14ac:dyDescent="0.2">
      <c r="A167">
        <v>2003</v>
      </c>
      <c r="B167" t="s">
        <v>47</v>
      </c>
      <c r="C167" t="s">
        <v>48</v>
      </c>
      <c r="D167" t="s">
        <v>49</v>
      </c>
      <c r="E167" t="s">
        <v>50</v>
      </c>
      <c r="F167" t="s">
        <v>46</v>
      </c>
    </row>
    <row r="168" spans="1:6" x14ac:dyDescent="0.2">
      <c r="A168" t="s">
        <v>30</v>
      </c>
      <c r="B168">
        <v>0</v>
      </c>
      <c r="C168">
        <v>0</v>
      </c>
      <c r="D168">
        <v>0</v>
      </c>
      <c r="E168">
        <v>0</v>
      </c>
      <c r="F168">
        <v>0.01</v>
      </c>
    </row>
    <row r="169" spans="1:6" x14ac:dyDescent="0.2">
      <c r="A169" t="s">
        <v>31</v>
      </c>
      <c r="B169">
        <v>0.87</v>
      </c>
      <c r="C169">
        <v>0.90500000000000003</v>
      </c>
      <c r="D169">
        <v>0.66400000000000003</v>
      </c>
      <c r="E169">
        <v>1.03</v>
      </c>
      <c r="F169">
        <v>1.39</v>
      </c>
    </row>
    <row r="170" spans="1:6" x14ac:dyDescent="0.2">
      <c r="A170" t="s">
        <v>32</v>
      </c>
      <c r="B170">
        <v>0.75</v>
      </c>
      <c r="C170">
        <v>0.78</v>
      </c>
      <c r="D170">
        <v>0.86199999999999999</v>
      </c>
      <c r="E170">
        <v>0.8</v>
      </c>
      <c r="F170">
        <v>1.03</v>
      </c>
    </row>
    <row r="171" spans="1:6" x14ac:dyDescent="0.2">
      <c r="A171" t="s">
        <v>33</v>
      </c>
      <c r="B171">
        <v>0.14000000000000001</v>
      </c>
      <c r="C171">
        <v>0.18</v>
      </c>
      <c r="D171">
        <v>0.18</v>
      </c>
      <c r="E171">
        <v>0.3</v>
      </c>
      <c r="F171">
        <v>0.78</v>
      </c>
    </row>
    <row r="172" spans="1:6" x14ac:dyDescent="0.2">
      <c r="A172" t="s">
        <v>34</v>
      </c>
      <c r="B172">
        <v>1.69</v>
      </c>
      <c r="C172">
        <v>1.7</v>
      </c>
      <c r="D172">
        <v>0.81</v>
      </c>
      <c r="E172">
        <v>0.38</v>
      </c>
      <c r="F172">
        <v>0.81</v>
      </c>
    </row>
    <row r="173" spans="1:6" x14ac:dyDescent="0.2">
      <c r="A173" t="s">
        <v>35</v>
      </c>
      <c r="B173">
        <v>0.26</v>
      </c>
      <c r="C173">
        <v>0.27</v>
      </c>
      <c r="D173">
        <v>0.24</v>
      </c>
      <c r="E173">
        <v>0.61</v>
      </c>
      <c r="F173">
        <v>1.4</v>
      </c>
    </row>
    <row r="174" spans="1:6" x14ac:dyDescent="0.2">
      <c r="A174" t="s">
        <v>36</v>
      </c>
      <c r="B174">
        <v>0.25</v>
      </c>
      <c r="C174">
        <v>0.26</v>
      </c>
      <c r="D174">
        <v>0.22800000000000001</v>
      </c>
      <c r="E174">
        <v>0.89</v>
      </c>
      <c r="F174">
        <v>0.08</v>
      </c>
    </row>
    <row r="175" spans="1:6" x14ac:dyDescent="0.2">
      <c r="A175" t="s">
        <v>37</v>
      </c>
      <c r="B175">
        <v>2.1800000000000002</v>
      </c>
      <c r="C175">
        <v>2.2000000000000002</v>
      </c>
      <c r="D175">
        <v>2.41</v>
      </c>
      <c r="E175">
        <v>3.3</v>
      </c>
      <c r="F175">
        <v>4.29</v>
      </c>
    </row>
    <row r="176" spans="1:6" x14ac:dyDescent="0.2">
      <c r="A176" t="s">
        <v>38</v>
      </c>
      <c r="B176">
        <v>0.44</v>
      </c>
      <c r="C176">
        <v>0.41</v>
      </c>
      <c r="D176">
        <v>0.37</v>
      </c>
      <c r="E176">
        <v>0.5</v>
      </c>
      <c r="F176">
        <v>1.17</v>
      </c>
    </row>
    <row r="177" spans="1:6" x14ac:dyDescent="0.2">
      <c r="A177" t="s">
        <v>27</v>
      </c>
      <c r="B177">
        <v>1.1499999999999999</v>
      </c>
      <c r="C177">
        <v>1.05</v>
      </c>
      <c r="D177">
        <v>1.1100000000000001</v>
      </c>
      <c r="E177">
        <v>0.97</v>
      </c>
      <c r="F177">
        <v>1.02</v>
      </c>
    </row>
    <row r="178" spans="1:6" x14ac:dyDescent="0.2">
      <c r="A178" t="s">
        <v>28</v>
      </c>
      <c r="B178">
        <v>0.9</v>
      </c>
      <c r="C178">
        <v>0.79</v>
      </c>
      <c r="D178">
        <v>0.81</v>
      </c>
      <c r="E178">
        <v>0.84</v>
      </c>
      <c r="F178">
        <v>1.01</v>
      </c>
    </row>
    <row r="179" spans="1:6" x14ac:dyDescent="0.2">
      <c r="A179" t="s">
        <v>29</v>
      </c>
      <c r="B179">
        <v>0.4</v>
      </c>
      <c r="C179">
        <v>0.22</v>
      </c>
      <c r="D179">
        <v>0.41599999999999998</v>
      </c>
      <c r="E179">
        <v>0.32</v>
      </c>
      <c r="F179">
        <v>0.54</v>
      </c>
    </row>
    <row r="180" spans="1:6" x14ac:dyDescent="0.2">
      <c r="A180" t="s">
        <v>54</v>
      </c>
      <c r="B180" s="23">
        <f>SUM(B168:B179)</f>
        <v>9.0300000000000011</v>
      </c>
      <c r="C180" s="23">
        <f>SUM(C168:C179)</f>
        <v>8.7650000000000006</v>
      </c>
      <c r="D180" s="23">
        <f>SUM(D168:D179)</f>
        <v>8.1000000000000014</v>
      </c>
      <c r="E180" s="23">
        <f>SUM(E168:E179)</f>
        <v>9.94</v>
      </c>
      <c r="F180" s="23">
        <f>SUM(F168:F179)</f>
        <v>13.529999999999998</v>
      </c>
    </row>
    <row r="181" spans="1:6" x14ac:dyDescent="0.2">
      <c r="B181" t="s">
        <v>45</v>
      </c>
      <c r="C181" t="s">
        <v>45</v>
      </c>
      <c r="D181" t="s">
        <v>45</v>
      </c>
      <c r="E181" t="s">
        <v>45</v>
      </c>
      <c r="F181" t="s">
        <v>45</v>
      </c>
    </row>
    <row r="182" spans="1:6" x14ac:dyDescent="0.2">
      <c r="A182">
        <v>2004</v>
      </c>
      <c r="B182" t="s">
        <v>47</v>
      </c>
      <c r="C182" t="s">
        <v>48</v>
      </c>
      <c r="D182" t="s">
        <v>49</v>
      </c>
      <c r="E182" t="s">
        <v>50</v>
      </c>
      <c r="F182" t="s">
        <v>46</v>
      </c>
    </row>
    <row r="183" spans="1:6" x14ac:dyDescent="0.2">
      <c r="A183" t="s">
        <v>30</v>
      </c>
      <c r="B183">
        <v>0.78</v>
      </c>
      <c r="C183">
        <v>0.84</v>
      </c>
      <c r="D183">
        <v>0.82</v>
      </c>
      <c r="E183">
        <v>0.89</v>
      </c>
      <c r="F183">
        <v>0.66</v>
      </c>
    </row>
    <row r="184" spans="1:6" x14ac:dyDescent="0.2">
      <c r="A184" t="s">
        <v>31</v>
      </c>
      <c r="B184">
        <v>1.02</v>
      </c>
      <c r="C184">
        <v>1.41</v>
      </c>
      <c r="D184">
        <v>0.81</v>
      </c>
      <c r="E184">
        <v>1.79</v>
      </c>
      <c r="F184">
        <v>2.9</v>
      </c>
    </row>
    <row r="185" spans="1:6" x14ac:dyDescent="0.2">
      <c r="A185" t="s">
        <v>32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">
      <c r="A186" t="s">
        <v>33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">
      <c r="A187" t="s">
        <v>34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 t="s">
        <v>35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 t="s">
        <v>36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 t="s">
        <v>37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 t="s">
        <v>38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 t="s">
        <v>27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">
      <c r="A193" t="s">
        <v>28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 t="s">
        <v>29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 t="s">
        <v>54</v>
      </c>
      <c r="B195" s="23">
        <f>SUM(B183:B194)</f>
        <v>1.8</v>
      </c>
      <c r="C195" s="23">
        <f>SUM(C183:C194)</f>
        <v>2.25</v>
      </c>
      <c r="D195" s="23">
        <f>SUM(D183:D194)</f>
        <v>1.63</v>
      </c>
      <c r="E195" s="23">
        <f>SUM(E183:E194)</f>
        <v>2.68</v>
      </c>
      <c r="F195" s="23">
        <f>SUM(F183:F194)</f>
        <v>3.56</v>
      </c>
    </row>
  </sheetData>
  <phoneticPr fontId="8" type="noConversion"/>
  <pageMargins left="0.75" right="0.75" top="0.43" bottom="0.25" header="0.43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D1" sqref="A1:D65536"/>
    </sheetView>
  </sheetViews>
  <sheetFormatPr defaultRowHeight="12.75" x14ac:dyDescent="0.2"/>
  <sheetData>
    <row r="1" spans="1:4" x14ac:dyDescent="0.2">
      <c r="B1" t="s">
        <v>81</v>
      </c>
      <c r="C1" t="s">
        <v>34</v>
      </c>
      <c r="D1" t="s">
        <v>82</v>
      </c>
    </row>
    <row r="2" spans="1:4" x14ac:dyDescent="0.2">
      <c r="A2" s="1">
        <v>1990</v>
      </c>
      <c r="B2" s="1">
        <v>1.49</v>
      </c>
      <c r="C2" s="1">
        <v>1.23</v>
      </c>
      <c r="D2" s="1">
        <v>0.71</v>
      </c>
    </row>
    <row r="3" spans="1:4" x14ac:dyDescent="0.2">
      <c r="A3" s="1">
        <v>1991</v>
      </c>
      <c r="B3" s="1">
        <v>0</v>
      </c>
      <c r="C3" s="1">
        <v>2.0499999999999998</v>
      </c>
      <c r="D3" s="1">
        <v>0.84</v>
      </c>
    </row>
    <row r="4" spans="1:4" x14ac:dyDescent="0.2">
      <c r="A4" s="1">
        <v>1992</v>
      </c>
      <c r="B4" s="1">
        <v>0.71</v>
      </c>
      <c r="C4" s="1">
        <v>3.27</v>
      </c>
      <c r="D4" s="1">
        <v>0.75</v>
      </c>
    </row>
    <row r="5" spans="1:4" x14ac:dyDescent="0.2">
      <c r="A5" s="1">
        <v>1993</v>
      </c>
      <c r="B5" s="1">
        <v>0.6</v>
      </c>
      <c r="C5" s="1">
        <v>1.65</v>
      </c>
      <c r="D5" s="1">
        <v>0.16</v>
      </c>
    </row>
    <row r="6" spans="1:4" x14ac:dyDescent="0.2">
      <c r="A6" s="1">
        <v>1994</v>
      </c>
      <c r="B6" s="1">
        <v>1.62</v>
      </c>
      <c r="C6" s="1">
        <v>1.65</v>
      </c>
      <c r="D6" s="1">
        <v>0.27</v>
      </c>
    </row>
    <row r="7" spans="1:4" x14ac:dyDescent="0.2">
      <c r="A7" s="1">
        <v>1995</v>
      </c>
      <c r="B7" s="1">
        <v>1.25</v>
      </c>
      <c r="C7" s="1">
        <v>1.93</v>
      </c>
      <c r="D7" s="1">
        <v>1.85</v>
      </c>
    </row>
    <row r="8" spans="1:4" x14ac:dyDescent="0.2">
      <c r="A8" s="1">
        <v>1996</v>
      </c>
      <c r="B8" s="1">
        <v>7.0000000000000007E-2</v>
      </c>
      <c r="C8" s="1">
        <v>0</v>
      </c>
      <c r="D8" s="1">
        <v>2.38</v>
      </c>
    </row>
    <row r="9" spans="1:4" x14ac:dyDescent="0.2">
      <c r="A9" s="1">
        <v>1997</v>
      </c>
      <c r="B9" s="5">
        <v>1.8</v>
      </c>
      <c r="C9" s="1">
        <v>0.66</v>
      </c>
      <c r="D9" s="1">
        <v>2.39</v>
      </c>
    </row>
    <row r="10" spans="1:4" x14ac:dyDescent="0.2">
      <c r="A10" s="1">
        <v>1998</v>
      </c>
      <c r="B10" s="1">
        <v>0.63</v>
      </c>
      <c r="C10" s="1">
        <v>0.01</v>
      </c>
      <c r="D10" s="1">
        <v>0.4</v>
      </c>
    </row>
    <row r="11" spans="1:4" x14ac:dyDescent="0.2">
      <c r="A11" s="1">
        <v>1999</v>
      </c>
      <c r="B11" s="1">
        <v>1.98</v>
      </c>
      <c r="C11" s="1">
        <v>1.61</v>
      </c>
      <c r="D11" s="1">
        <v>2.0699999999999998</v>
      </c>
    </row>
    <row r="12" spans="1:4" x14ac:dyDescent="0.2">
      <c r="A12" s="1">
        <v>2000</v>
      </c>
      <c r="B12" s="1">
        <v>0.36</v>
      </c>
      <c r="C12" s="1">
        <v>0.01</v>
      </c>
      <c r="D12" s="1">
        <v>1.77</v>
      </c>
    </row>
    <row r="13" spans="1:4" x14ac:dyDescent="0.2">
      <c r="A13" s="1">
        <v>2001</v>
      </c>
      <c r="B13" s="5">
        <v>0.6</v>
      </c>
      <c r="C13" s="1">
        <v>0.69</v>
      </c>
      <c r="D13" s="1">
        <v>0.42</v>
      </c>
    </row>
    <row r="14" spans="1:4" x14ac:dyDescent="0.2">
      <c r="A14" s="1">
        <v>2002</v>
      </c>
      <c r="B14" s="1">
        <v>0.17</v>
      </c>
      <c r="C14" s="1">
        <v>7.0000000000000007E-2</v>
      </c>
      <c r="D14" s="1">
        <v>0.36</v>
      </c>
    </row>
    <row r="15" spans="1:4" x14ac:dyDescent="0.2">
      <c r="A15" s="1">
        <v>2003</v>
      </c>
      <c r="B15" s="5">
        <v>0.18</v>
      </c>
      <c r="C15" s="5">
        <v>1.7</v>
      </c>
      <c r="D15" s="5">
        <v>0.27</v>
      </c>
    </row>
    <row r="16" spans="1:4" x14ac:dyDescent="0.2">
      <c r="A16" s="1">
        <v>2004</v>
      </c>
      <c r="B16" s="5">
        <v>3.4</v>
      </c>
      <c r="C16" s="1">
        <v>0</v>
      </c>
      <c r="D16" s="1">
        <v>0.52</v>
      </c>
    </row>
    <row r="17" spans="1:4" x14ac:dyDescent="0.2">
      <c r="A17" s="1">
        <v>2005</v>
      </c>
      <c r="B17" s="1">
        <v>1.46</v>
      </c>
      <c r="C17" s="1">
        <v>0.69</v>
      </c>
      <c r="D17" s="1">
        <v>0.6</v>
      </c>
    </row>
    <row r="18" spans="1:4" x14ac:dyDescent="0.2">
      <c r="A18" s="1">
        <v>2006</v>
      </c>
      <c r="B18" s="1">
        <v>0.2</v>
      </c>
      <c r="C18" s="1">
        <v>0.31</v>
      </c>
      <c r="D18" s="1">
        <v>0.8</v>
      </c>
    </row>
    <row r="19" spans="1:4" x14ac:dyDescent="0.2">
      <c r="A19" s="1">
        <v>2007</v>
      </c>
      <c r="B19" s="1">
        <v>0.69</v>
      </c>
      <c r="C19" s="1">
        <v>0.97</v>
      </c>
      <c r="D19" s="1">
        <v>0.95</v>
      </c>
    </row>
    <row r="20" spans="1:4" x14ac:dyDescent="0.2">
      <c r="A20" s="1">
        <v>2008</v>
      </c>
      <c r="B20" s="1">
        <v>0.24</v>
      </c>
      <c r="C20" s="1">
        <v>0.96</v>
      </c>
      <c r="D20" s="1">
        <v>0.16</v>
      </c>
    </row>
    <row r="21" spans="1:4" x14ac:dyDescent="0.2">
      <c r="A21" s="1">
        <v>2009</v>
      </c>
      <c r="B21" s="1">
        <v>1.19</v>
      </c>
      <c r="C21" s="1">
        <v>1.33</v>
      </c>
      <c r="D21" s="1">
        <v>1.6</v>
      </c>
    </row>
  </sheetData>
  <phoneticPr fontId="8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1"/>
  <sheetViews>
    <sheetView workbookViewId="0">
      <selection activeCell="H10" sqref="H10"/>
    </sheetView>
  </sheetViews>
  <sheetFormatPr defaultRowHeight="12.75" x14ac:dyDescent="0.2"/>
  <cols>
    <col min="1" max="1" width="4.85546875" bestFit="1" customWidth="1"/>
    <col min="2" max="2" width="4.5703125" bestFit="1" customWidth="1"/>
    <col min="3" max="3" width="6.42578125" bestFit="1" customWidth="1"/>
    <col min="5" max="5" width="4.85546875" bestFit="1" customWidth="1"/>
    <col min="6" max="6" width="4.5703125" bestFit="1" customWidth="1"/>
  </cols>
  <sheetData>
    <row r="1" spans="1:7" x14ac:dyDescent="0.2">
      <c r="A1" t="s">
        <v>45</v>
      </c>
      <c r="B1" t="s">
        <v>45</v>
      </c>
      <c r="C1" t="s">
        <v>55</v>
      </c>
      <c r="D1" t="s">
        <v>45</v>
      </c>
      <c r="E1" t="s">
        <v>45</v>
      </c>
      <c r="F1" t="s">
        <v>45</v>
      </c>
      <c r="G1" t="s">
        <v>55</v>
      </c>
    </row>
    <row r="2" spans="1:7" x14ac:dyDescent="0.2">
      <c r="A2">
        <v>1991</v>
      </c>
      <c r="B2" t="s">
        <v>27</v>
      </c>
      <c r="C2">
        <v>0.42</v>
      </c>
      <c r="D2" t="s">
        <v>45</v>
      </c>
      <c r="E2">
        <v>1974</v>
      </c>
      <c r="F2" t="s">
        <v>27</v>
      </c>
      <c r="G2">
        <v>3.13</v>
      </c>
    </row>
    <row r="3" spans="1:7" x14ac:dyDescent="0.2">
      <c r="A3" t="s">
        <v>45</v>
      </c>
      <c r="B3" t="s">
        <v>28</v>
      </c>
      <c r="C3">
        <v>1.28</v>
      </c>
      <c r="D3" t="s">
        <v>45</v>
      </c>
      <c r="E3" t="s">
        <v>45</v>
      </c>
      <c r="F3" t="s">
        <v>28</v>
      </c>
      <c r="G3">
        <v>0.39</v>
      </c>
    </row>
    <row r="4" spans="1:7" x14ac:dyDescent="0.2">
      <c r="A4" t="s">
        <v>45</v>
      </c>
      <c r="B4" t="s">
        <v>29</v>
      </c>
      <c r="C4">
        <v>2.09</v>
      </c>
      <c r="D4" t="s">
        <v>45</v>
      </c>
      <c r="E4" t="s">
        <v>45</v>
      </c>
      <c r="F4" t="s">
        <v>29</v>
      </c>
      <c r="G4">
        <v>0.8</v>
      </c>
    </row>
    <row r="5" spans="1:7" x14ac:dyDescent="0.2">
      <c r="A5">
        <v>1992</v>
      </c>
      <c r="B5" t="s">
        <v>30</v>
      </c>
      <c r="C5">
        <v>0.4</v>
      </c>
      <c r="D5" t="s">
        <v>45</v>
      </c>
      <c r="E5">
        <v>1975</v>
      </c>
      <c r="F5" t="s">
        <v>30</v>
      </c>
      <c r="G5">
        <v>0.84</v>
      </c>
    </row>
    <row r="6" spans="1:7" x14ac:dyDescent="0.2">
      <c r="A6" t="s">
        <v>45</v>
      </c>
      <c r="B6" t="s">
        <v>31</v>
      </c>
      <c r="C6">
        <v>0.5</v>
      </c>
      <c r="D6" t="s">
        <v>45</v>
      </c>
      <c r="E6" t="s">
        <v>45</v>
      </c>
      <c r="F6" t="s">
        <v>31</v>
      </c>
      <c r="G6">
        <v>2.2999999999999998</v>
      </c>
    </row>
    <row r="7" spans="1:7" x14ac:dyDescent="0.2">
      <c r="A7" t="s">
        <v>45</v>
      </c>
      <c r="B7" t="s">
        <v>32</v>
      </c>
      <c r="C7">
        <v>0.66</v>
      </c>
      <c r="D7" t="s">
        <v>45</v>
      </c>
      <c r="E7" t="s">
        <v>45</v>
      </c>
      <c r="F7" t="s">
        <v>32</v>
      </c>
      <c r="G7">
        <v>1.31</v>
      </c>
    </row>
    <row r="8" spans="1:7" x14ac:dyDescent="0.2">
      <c r="A8" t="s">
        <v>45</v>
      </c>
      <c r="B8" t="s">
        <v>33</v>
      </c>
      <c r="C8">
        <v>0.71</v>
      </c>
      <c r="D8" t="s">
        <v>45</v>
      </c>
      <c r="E8" t="s">
        <v>45</v>
      </c>
      <c r="F8" t="s">
        <v>33</v>
      </c>
      <c r="G8">
        <v>0.85</v>
      </c>
    </row>
    <row r="9" spans="1:7" x14ac:dyDescent="0.2">
      <c r="A9" t="s">
        <v>45</v>
      </c>
      <c r="B9" t="s">
        <v>34</v>
      </c>
      <c r="C9">
        <v>3.27</v>
      </c>
      <c r="D9" t="s">
        <v>45</v>
      </c>
      <c r="E9" t="s">
        <v>45</v>
      </c>
      <c r="F9" t="s">
        <v>34</v>
      </c>
      <c r="G9">
        <v>0.24</v>
      </c>
    </row>
    <row r="10" spans="1:7" x14ac:dyDescent="0.2">
      <c r="A10" t="s">
        <v>45</v>
      </c>
      <c r="B10" t="s">
        <v>35</v>
      </c>
      <c r="C10">
        <v>0.75</v>
      </c>
      <c r="D10" t="s">
        <v>45</v>
      </c>
      <c r="E10" t="s">
        <v>45</v>
      </c>
      <c r="F10" t="s">
        <v>35</v>
      </c>
      <c r="G10">
        <v>0.65</v>
      </c>
    </row>
    <row r="11" spans="1:7" x14ac:dyDescent="0.2">
      <c r="A11" t="s">
        <v>45</v>
      </c>
      <c r="B11" t="s">
        <v>36</v>
      </c>
      <c r="C11">
        <v>1.19</v>
      </c>
      <c r="D11" t="s">
        <v>45</v>
      </c>
      <c r="E11" t="s">
        <v>45</v>
      </c>
      <c r="F11" t="s">
        <v>36</v>
      </c>
      <c r="G11">
        <v>3.53</v>
      </c>
    </row>
    <row r="12" spans="1:7" x14ac:dyDescent="0.2">
      <c r="A12" t="s">
        <v>45</v>
      </c>
      <c r="B12" t="s">
        <v>37</v>
      </c>
      <c r="C12">
        <v>1.88</v>
      </c>
      <c r="D12" t="s">
        <v>45</v>
      </c>
      <c r="E12" t="s">
        <v>45</v>
      </c>
      <c r="F12" t="s">
        <v>37</v>
      </c>
      <c r="G12">
        <v>1.18</v>
      </c>
    </row>
    <row r="13" spans="1:7" x14ac:dyDescent="0.2">
      <c r="A13" t="s">
        <v>45</v>
      </c>
      <c r="B13" t="s">
        <v>38</v>
      </c>
      <c r="C13">
        <v>1.24</v>
      </c>
      <c r="D13" t="s">
        <v>45</v>
      </c>
      <c r="E13" t="s">
        <v>45</v>
      </c>
      <c r="F13" t="s">
        <v>38</v>
      </c>
      <c r="G13">
        <v>3.48</v>
      </c>
    </row>
    <row r="14" spans="1:7" x14ac:dyDescent="0.2">
      <c r="A14" t="s">
        <v>45</v>
      </c>
      <c r="B14" t="s">
        <v>45</v>
      </c>
      <c r="C14" t="s">
        <v>45</v>
      </c>
      <c r="D14" t="s">
        <v>45</v>
      </c>
      <c r="E14" t="s">
        <v>45</v>
      </c>
      <c r="F14" t="s">
        <v>45</v>
      </c>
    </row>
    <row r="15" spans="1:7" x14ac:dyDescent="0.2">
      <c r="A15" t="s">
        <v>45</v>
      </c>
      <c r="B15" t="s">
        <v>27</v>
      </c>
      <c r="C15">
        <v>0.22</v>
      </c>
      <c r="D15" t="s">
        <v>45</v>
      </c>
      <c r="E15" t="s">
        <v>45</v>
      </c>
      <c r="F15" t="s">
        <v>27</v>
      </c>
      <c r="G15">
        <v>0</v>
      </c>
    </row>
    <row r="16" spans="1:7" x14ac:dyDescent="0.2">
      <c r="A16" t="s">
        <v>45</v>
      </c>
      <c r="B16" t="s">
        <v>28</v>
      </c>
      <c r="C16">
        <v>2.3199999999999998</v>
      </c>
      <c r="D16" t="s">
        <v>45</v>
      </c>
      <c r="E16" t="s">
        <v>45</v>
      </c>
      <c r="F16" t="s">
        <v>28</v>
      </c>
      <c r="G16">
        <v>0.63</v>
      </c>
    </row>
    <row r="17" spans="1:7" x14ac:dyDescent="0.2">
      <c r="A17" t="s">
        <v>45</v>
      </c>
      <c r="B17" t="s">
        <v>29</v>
      </c>
      <c r="C17">
        <v>0.76</v>
      </c>
      <c r="D17" t="s">
        <v>45</v>
      </c>
      <c r="E17" t="s">
        <v>45</v>
      </c>
      <c r="F17" t="s">
        <v>29</v>
      </c>
      <c r="G17">
        <v>0.32</v>
      </c>
    </row>
    <row r="18" spans="1:7" x14ac:dyDescent="0.2">
      <c r="A18">
        <v>1993</v>
      </c>
      <c r="B18" t="s">
        <v>30</v>
      </c>
      <c r="C18">
        <v>3.73</v>
      </c>
      <c r="D18" t="s">
        <v>45</v>
      </c>
      <c r="E18">
        <v>1976</v>
      </c>
      <c r="F18" t="s">
        <v>30</v>
      </c>
      <c r="G18" t="s">
        <v>13</v>
      </c>
    </row>
    <row r="19" spans="1:7" x14ac:dyDescent="0.2">
      <c r="A19" t="s">
        <v>45</v>
      </c>
      <c r="B19" t="s">
        <v>31</v>
      </c>
      <c r="C19">
        <v>1.65</v>
      </c>
      <c r="D19" t="s">
        <v>45</v>
      </c>
      <c r="E19" t="s">
        <v>45</v>
      </c>
      <c r="F19" t="s">
        <v>31</v>
      </c>
      <c r="G19" t="s">
        <v>13</v>
      </c>
    </row>
    <row r="20" spans="1:7" x14ac:dyDescent="0.2">
      <c r="A20" t="s">
        <v>45</v>
      </c>
      <c r="B20" t="s">
        <v>32</v>
      </c>
      <c r="C20">
        <v>0.56999999999999995</v>
      </c>
      <c r="D20" t="s">
        <v>45</v>
      </c>
      <c r="E20" t="s">
        <v>45</v>
      </c>
      <c r="F20" t="s">
        <v>32</v>
      </c>
      <c r="G20" t="s">
        <v>13</v>
      </c>
    </row>
    <row r="21" spans="1:7" x14ac:dyDescent="0.2">
      <c r="A21" t="s">
        <v>45</v>
      </c>
      <c r="B21" t="s">
        <v>33</v>
      </c>
      <c r="C21">
        <v>0.6</v>
      </c>
      <c r="D21" t="s">
        <v>45</v>
      </c>
      <c r="E21" t="s">
        <v>45</v>
      </c>
      <c r="F21" t="s">
        <v>33</v>
      </c>
      <c r="G21" t="s">
        <v>13</v>
      </c>
    </row>
    <row r="22" spans="1:7" x14ac:dyDescent="0.2">
      <c r="A22" t="s">
        <v>45</v>
      </c>
      <c r="B22" t="s">
        <v>34</v>
      </c>
      <c r="C22">
        <v>1.65</v>
      </c>
      <c r="D22" t="s">
        <v>45</v>
      </c>
      <c r="E22" t="s">
        <v>45</v>
      </c>
      <c r="F22" t="s">
        <v>34</v>
      </c>
      <c r="G22">
        <v>1.19</v>
      </c>
    </row>
    <row r="23" spans="1:7" x14ac:dyDescent="0.2">
      <c r="A23" t="s">
        <v>45</v>
      </c>
      <c r="B23" t="s">
        <v>35</v>
      </c>
      <c r="C23">
        <v>0.16</v>
      </c>
      <c r="D23" t="s">
        <v>45</v>
      </c>
      <c r="E23" t="s">
        <v>45</v>
      </c>
      <c r="F23" t="s">
        <v>35</v>
      </c>
      <c r="G23">
        <v>0.14000000000000001</v>
      </c>
    </row>
    <row r="24" spans="1:7" x14ac:dyDescent="0.2">
      <c r="A24" t="s">
        <v>45</v>
      </c>
      <c r="B24" t="s">
        <v>36</v>
      </c>
      <c r="C24">
        <v>3.06</v>
      </c>
      <c r="D24" t="s">
        <v>45</v>
      </c>
      <c r="E24" t="s">
        <v>45</v>
      </c>
      <c r="F24" t="s">
        <v>36</v>
      </c>
      <c r="G24">
        <v>2.27</v>
      </c>
    </row>
    <row r="25" spans="1:7" x14ac:dyDescent="0.2">
      <c r="A25" t="s">
        <v>45</v>
      </c>
      <c r="B25" t="s">
        <v>37</v>
      </c>
      <c r="C25">
        <v>3.38</v>
      </c>
      <c r="D25" t="s">
        <v>45</v>
      </c>
      <c r="E25" t="s">
        <v>45</v>
      </c>
      <c r="F25" t="s">
        <v>37</v>
      </c>
      <c r="G25">
        <v>4.07</v>
      </c>
    </row>
    <row r="26" spans="1:7" x14ac:dyDescent="0.2">
      <c r="A26" t="s">
        <v>45</v>
      </c>
      <c r="B26" t="s">
        <v>38</v>
      </c>
      <c r="C26">
        <v>3.58</v>
      </c>
      <c r="D26" t="s">
        <v>45</v>
      </c>
      <c r="E26" t="s">
        <v>45</v>
      </c>
      <c r="F26" t="s">
        <v>38</v>
      </c>
      <c r="G26">
        <v>2.57</v>
      </c>
    </row>
    <row r="27" spans="1:7" x14ac:dyDescent="0.2">
      <c r="A27" t="s">
        <v>45</v>
      </c>
      <c r="B27" t="s">
        <v>45</v>
      </c>
      <c r="C27" t="s">
        <v>45</v>
      </c>
      <c r="D27" t="s">
        <v>45</v>
      </c>
      <c r="E27" t="s">
        <v>45</v>
      </c>
      <c r="F27" t="s">
        <v>45</v>
      </c>
    </row>
    <row r="28" spans="1:7" x14ac:dyDescent="0.2">
      <c r="A28" t="s">
        <v>45</v>
      </c>
      <c r="B28" t="s">
        <v>27</v>
      </c>
      <c r="C28">
        <v>0.48</v>
      </c>
      <c r="D28" t="s">
        <v>45</v>
      </c>
      <c r="E28" t="s">
        <v>45</v>
      </c>
      <c r="F28" t="s">
        <v>27</v>
      </c>
      <c r="G28">
        <v>0.01</v>
      </c>
    </row>
    <row r="29" spans="1:7" x14ac:dyDescent="0.2">
      <c r="A29" t="s">
        <v>45</v>
      </c>
      <c r="B29" t="s">
        <v>28</v>
      </c>
      <c r="C29">
        <v>1.56</v>
      </c>
      <c r="D29" t="s">
        <v>45</v>
      </c>
      <c r="E29" t="s">
        <v>45</v>
      </c>
      <c r="F29" t="s">
        <v>28</v>
      </c>
      <c r="G29" t="s">
        <v>13</v>
      </c>
    </row>
    <row r="30" spans="1:7" x14ac:dyDescent="0.2">
      <c r="A30" t="s">
        <v>45</v>
      </c>
      <c r="B30" t="s">
        <v>29</v>
      </c>
      <c r="C30">
        <v>0.2</v>
      </c>
      <c r="D30" t="s">
        <v>45</v>
      </c>
      <c r="E30" t="s">
        <v>45</v>
      </c>
      <c r="F30" t="s">
        <v>29</v>
      </c>
      <c r="G30">
        <v>0.09</v>
      </c>
    </row>
    <row r="31" spans="1:7" x14ac:dyDescent="0.2">
      <c r="A31">
        <v>1994</v>
      </c>
      <c r="B31" t="s">
        <v>30</v>
      </c>
      <c r="C31">
        <v>0.14000000000000001</v>
      </c>
      <c r="D31" t="s">
        <v>45</v>
      </c>
      <c r="E31">
        <v>1977</v>
      </c>
      <c r="F31" t="s">
        <v>30</v>
      </c>
      <c r="G31" t="s">
        <v>13</v>
      </c>
    </row>
    <row r="32" spans="1:7" x14ac:dyDescent="0.2">
      <c r="A32" t="s">
        <v>45</v>
      </c>
      <c r="B32" t="s">
        <v>31</v>
      </c>
      <c r="C32">
        <v>1.39</v>
      </c>
      <c r="D32" t="s">
        <v>45</v>
      </c>
      <c r="E32" t="s">
        <v>45</v>
      </c>
      <c r="F32" t="s">
        <v>31</v>
      </c>
      <c r="G32" t="s">
        <v>13</v>
      </c>
    </row>
    <row r="33" spans="1:7" x14ac:dyDescent="0.2">
      <c r="A33" t="s">
        <v>45</v>
      </c>
      <c r="B33" t="s">
        <v>32</v>
      </c>
      <c r="C33">
        <v>1</v>
      </c>
      <c r="D33" t="s">
        <v>45</v>
      </c>
      <c r="E33" t="s">
        <v>45</v>
      </c>
      <c r="F33" t="s">
        <v>32</v>
      </c>
      <c r="G33" t="s">
        <v>13</v>
      </c>
    </row>
    <row r="34" spans="1:7" x14ac:dyDescent="0.2">
      <c r="A34" t="s">
        <v>45</v>
      </c>
      <c r="B34" t="s">
        <v>33</v>
      </c>
      <c r="C34">
        <v>1.62</v>
      </c>
      <c r="D34" t="s">
        <v>45</v>
      </c>
      <c r="E34" t="s">
        <v>45</v>
      </c>
      <c r="F34" t="s">
        <v>33</v>
      </c>
      <c r="G34">
        <v>1.3</v>
      </c>
    </row>
    <row r="35" spans="1:7" x14ac:dyDescent="0.2">
      <c r="A35" t="s">
        <v>45</v>
      </c>
      <c r="B35" t="s">
        <v>34</v>
      </c>
      <c r="C35">
        <v>1.65</v>
      </c>
      <c r="D35" t="s">
        <v>45</v>
      </c>
      <c r="E35" t="s">
        <v>45</v>
      </c>
      <c r="F35" t="s">
        <v>34</v>
      </c>
      <c r="G35">
        <v>0.57999999999999996</v>
      </c>
    </row>
    <row r="36" spans="1:7" x14ac:dyDescent="0.2">
      <c r="A36" t="s">
        <v>45</v>
      </c>
      <c r="B36" t="s">
        <v>35</v>
      </c>
      <c r="C36">
        <v>0.27</v>
      </c>
      <c r="D36" t="s">
        <v>45</v>
      </c>
      <c r="E36" t="s">
        <v>45</v>
      </c>
      <c r="F36" t="s">
        <v>35</v>
      </c>
      <c r="G36">
        <v>0.59</v>
      </c>
    </row>
    <row r="37" spans="1:7" x14ac:dyDescent="0.2">
      <c r="A37" t="s">
        <v>45</v>
      </c>
      <c r="B37" t="s">
        <v>36</v>
      </c>
      <c r="C37">
        <v>1.01</v>
      </c>
      <c r="D37" t="s">
        <v>45</v>
      </c>
      <c r="E37" t="s">
        <v>45</v>
      </c>
      <c r="F37" t="s">
        <v>36</v>
      </c>
      <c r="G37">
        <v>3.84</v>
      </c>
    </row>
    <row r="38" spans="1:7" x14ac:dyDescent="0.2">
      <c r="A38" t="s">
        <v>45</v>
      </c>
      <c r="B38" t="s">
        <v>37</v>
      </c>
      <c r="C38">
        <v>2.42</v>
      </c>
      <c r="D38" t="s">
        <v>45</v>
      </c>
      <c r="E38" t="s">
        <v>45</v>
      </c>
      <c r="F38" t="s">
        <v>37</v>
      </c>
      <c r="G38">
        <v>4.47</v>
      </c>
    </row>
    <row r="39" spans="1:7" x14ac:dyDescent="0.2">
      <c r="A39" t="s">
        <v>45</v>
      </c>
      <c r="B39" t="s">
        <v>38</v>
      </c>
      <c r="C39">
        <v>1.1100000000000001</v>
      </c>
      <c r="D39" t="s">
        <v>45</v>
      </c>
      <c r="E39" t="s">
        <v>45</v>
      </c>
      <c r="F39" t="s">
        <v>38</v>
      </c>
      <c r="G39" t="s">
        <v>13</v>
      </c>
    </row>
    <row r="40" spans="1:7" x14ac:dyDescent="0.2">
      <c r="A40" t="s">
        <v>45</v>
      </c>
      <c r="B40" t="s">
        <v>45</v>
      </c>
      <c r="C40" t="s">
        <v>45</v>
      </c>
      <c r="D40" t="s">
        <v>45</v>
      </c>
      <c r="E40" t="s">
        <v>45</v>
      </c>
      <c r="F40" t="s">
        <v>45</v>
      </c>
    </row>
    <row r="41" spans="1:7" x14ac:dyDescent="0.2">
      <c r="A41" t="s">
        <v>45</v>
      </c>
      <c r="B41" t="s">
        <v>27</v>
      </c>
      <c r="C41">
        <v>2.86</v>
      </c>
      <c r="D41" t="s">
        <v>45</v>
      </c>
      <c r="E41" t="s">
        <v>45</v>
      </c>
      <c r="F41" t="s">
        <v>27</v>
      </c>
      <c r="G41">
        <v>0.97</v>
      </c>
    </row>
    <row r="42" spans="1:7" x14ac:dyDescent="0.2">
      <c r="A42" t="s">
        <v>45</v>
      </c>
      <c r="B42" t="s">
        <v>28</v>
      </c>
      <c r="C42">
        <v>2.2000000000000002</v>
      </c>
      <c r="D42" t="s">
        <v>45</v>
      </c>
      <c r="E42" t="s">
        <v>45</v>
      </c>
      <c r="F42" t="s">
        <v>28</v>
      </c>
      <c r="G42">
        <v>1.55</v>
      </c>
    </row>
    <row r="43" spans="1:7" x14ac:dyDescent="0.2">
      <c r="A43" t="s">
        <v>45</v>
      </c>
      <c r="B43" t="s">
        <v>29</v>
      </c>
      <c r="C43">
        <v>0.88</v>
      </c>
      <c r="D43" t="s">
        <v>45</v>
      </c>
      <c r="E43" t="s">
        <v>45</v>
      </c>
      <c r="F43" t="s">
        <v>29</v>
      </c>
      <c r="G43">
        <v>0.01</v>
      </c>
    </row>
    <row r="44" spans="1:7" x14ac:dyDescent="0.2">
      <c r="A44">
        <v>1995</v>
      </c>
      <c r="B44" t="s">
        <v>30</v>
      </c>
      <c r="C44">
        <v>1.47</v>
      </c>
      <c r="D44" t="s">
        <v>45</v>
      </c>
      <c r="E44">
        <v>1978</v>
      </c>
      <c r="F44" t="s">
        <v>30</v>
      </c>
      <c r="G44" t="s">
        <v>13</v>
      </c>
    </row>
    <row r="45" spans="1:7" x14ac:dyDescent="0.2">
      <c r="A45" t="s">
        <v>45</v>
      </c>
      <c r="B45" t="s">
        <v>31</v>
      </c>
      <c r="C45">
        <v>0.36</v>
      </c>
      <c r="D45" t="s">
        <v>45</v>
      </c>
      <c r="E45" t="s">
        <v>45</v>
      </c>
      <c r="F45" t="s">
        <v>31</v>
      </c>
      <c r="G45">
        <v>0.08</v>
      </c>
    </row>
    <row r="46" spans="1:7" x14ac:dyDescent="0.2">
      <c r="A46" t="s">
        <v>45</v>
      </c>
      <c r="B46" t="s">
        <v>32</v>
      </c>
      <c r="C46">
        <v>1.2</v>
      </c>
      <c r="D46" t="s">
        <v>45</v>
      </c>
      <c r="E46" t="s">
        <v>45</v>
      </c>
      <c r="F46" t="s">
        <v>32</v>
      </c>
      <c r="G46">
        <v>2.12</v>
      </c>
    </row>
    <row r="47" spans="1:7" x14ac:dyDescent="0.2">
      <c r="A47" t="s">
        <v>45</v>
      </c>
      <c r="B47" t="s">
        <v>33</v>
      </c>
      <c r="C47">
        <v>1.25</v>
      </c>
      <c r="D47" t="s">
        <v>45</v>
      </c>
      <c r="E47" t="s">
        <v>45</v>
      </c>
      <c r="F47" t="s">
        <v>33</v>
      </c>
      <c r="G47">
        <v>0.21</v>
      </c>
    </row>
    <row r="48" spans="1:7" x14ac:dyDescent="0.2">
      <c r="A48" t="s">
        <v>45</v>
      </c>
      <c r="B48" t="s">
        <v>34</v>
      </c>
      <c r="C48">
        <v>1.93</v>
      </c>
      <c r="D48" t="s">
        <v>45</v>
      </c>
      <c r="E48" t="s">
        <v>45</v>
      </c>
      <c r="F48" t="s">
        <v>34</v>
      </c>
      <c r="G48">
        <v>2.69</v>
      </c>
    </row>
    <row r="49" spans="1:7" x14ac:dyDescent="0.2">
      <c r="A49" t="s">
        <v>45</v>
      </c>
      <c r="B49" t="s">
        <v>35</v>
      </c>
      <c r="C49">
        <v>1.85</v>
      </c>
      <c r="D49" t="s">
        <v>45</v>
      </c>
      <c r="E49" t="s">
        <v>45</v>
      </c>
      <c r="F49" t="s">
        <v>35</v>
      </c>
      <c r="G49">
        <v>1.08</v>
      </c>
    </row>
    <row r="50" spans="1:7" x14ac:dyDescent="0.2">
      <c r="A50" t="s">
        <v>45</v>
      </c>
      <c r="B50" t="s">
        <v>36</v>
      </c>
      <c r="C50">
        <v>2.09</v>
      </c>
      <c r="D50" t="s">
        <v>45</v>
      </c>
      <c r="E50" t="s">
        <v>45</v>
      </c>
      <c r="F50" t="s">
        <v>36</v>
      </c>
      <c r="G50">
        <v>1.52</v>
      </c>
    </row>
    <row r="51" spans="1:7" x14ac:dyDescent="0.2">
      <c r="A51" t="s">
        <v>45</v>
      </c>
      <c r="B51" t="s">
        <v>37</v>
      </c>
      <c r="C51">
        <v>1.63</v>
      </c>
      <c r="D51" t="s">
        <v>45</v>
      </c>
      <c r="E51" t="s">
        <v>45</v>
      </c>
      <c r="F51" t="s">
        <v>37</v>
      </c>
      <c r="G51">
        <v>0.75</v>
      </c>
    </row>
    <row r="52" spans="1:7" x14ac:dyDescent="0.2">
      <c r="A52" t="s">
        <v>45</v>
      </c>
      <c r="B52" t="s">
        <v>38</v>
      </c>
      <c r="C52">
        <v>1.59</v>
      </c>
      <c r="D52" t="s">
        <v>45</v>
      </c>
      <c r="E52" t="s">
        <v>45</v>
      </c>
      <c r="F52" t="s">
        <v>38</v>
      </c>
      <c r="G52">
        <v>1.52</v>
      </c>
    </row>
    <row r="53" spans="1:7" x14ac:dyDescent="0.2">
      <c r="A53" t="s">
        <v>45</v>
      </c>
      <c r="B53" t="s">
        <v>45</v>
      </c>
      <c r="C53" t="s">
        <v>45</v>
      </c>
      <c r="D53" t="s">
        <v>45</v>
      </c>
      <c r="E53" t="s">
        <v>45</v>
      </c>
      <c r="F53" t="s">
        <v>45</v>
      </c>
    </row>
    <row r="54" spans="1:7" x14ac:dyDescent="0.2">
      <c r="A54" t="s">
        <v>45</v>
      </c>
      <c r="B54" t="s">
        <v>27</v>
      </c>
      <c r="C54">
        <v>0</v>
      </c>
      <c r="D54" t="s">
        <v>45</v>
      </c>
      <c r="E54" t="s">
        <v>45</v>
      </c>
      <c r="F54" t="s">
        <v>27</v>
      </c>
      <c r="G54">
        <v>1.3</v>
      </c>
    </row>
    <row r="55" spans="1:7" x14ac:dyDescent="0.2">
      <c r="A55" t="s">
        <v>45</v>
      </c>
      <c r="B55" t="s">
        <v>28</v>
      </c>
      <c r="C55">
        <v>0.13</v>
      </c>
      <c r="D55" t="s">
        <v>45</v>
      </c>
      <c r="E55" t="s">
        <v>45</v>
      </c>
      <c r="F55" t="s">
        <v>28</v>
      </c>
      <c r="G55">
        <v>6.43</v>
      </c>
    </row>
    <row r="56" spans="1:7" x14ac:dyDescent="0.2">
      <c r="A56" t="s">
        <v>45</v>
      </c>
      <c r="B56" t="s">
        <v>29</v>
      </c>
      <c r="C56">
        <v>0.4</v>
      </c>
      <c r="D56" t="s">
        <v>45</v>
      </c>
      <c r="E56" t="s">
        <v>45</v>
      </c>
      <c r="F56" t="s">
        <v>29</v>
      </c>
      <c r="G56">
        <v>1.6</v>
      </c>
    </row>
    <row r="57" spans="1:7" x14ac:dyDescent="0.2">
      <c r="A57">
        <v>1996</v>
      </c>
      <c r="B57" t="s">
        <v>30</v>
      </c>
      <c r="C57">
        <v>0.79</v>
      </c>
      <c r="D57" t="s">
        <v>45</v>
      </c>
      <c r="E57">
        <v>1979</v>
      </c>
      <c r="F57" t="s">
        <v>30</v>
      </c>
      <c r="G57">
        <v>2.86</v>
      </c>
    </row>
    <row r="58" spans="1:7" x14ac:dyDescent="0.2">
      <c r="A58" t="s">
        <v>45</v>
      </c>
      <c r="B58" t="s">
        <v>31</v>
      </c>
      <c r="C58">
        <v>0.6</v>
      </c>
      <c r="D58" t="s">
        <v>45</v>
      </c>
      <c r="E58" t="s">
        <v>45</v>
      </c>
      <c r="F58" t="s">
        <v>31</v>
      </c>
      <c r="G58">
        <v>0.66</v>
      </c>
    </row>
    <row r="59" spans="1:7" x14ac:dyDescent="0.2">
      <c r="A59" t="s">
        <v>45</v>
      </c>
      <c r="B59" t="s">
        <v>32</v>
      </c>
      <c r="C59">
        <v>0.14000000000000001</v>
      </c>
      <c r="D59" t="s">
        <v>45</v>
      </c>
      <c r="E59" t="s">
        <v>45</v>
      </c>
      <c r="F59" t="s">
        <v>32</v>
      </c>
      <c r="G59">
        <v>0.88</v>
      </c>
    </row>
    <row r="60" spans="1:7" x14ac:dyDescent="0.2">
      <c r="A60" t="s">
        <v>45</v>
      </c>
      <c r="B60" t="s">
        <v>33</v>
      </c>
      <c r="C60">
        <v>7.0000000000000007E-2</v>
      </c>
      <c r="D60" t="s">
        <v>45</v>
      </c>
      <c r="E60" t="s">
        <v>45</v>
      </c>
      <c r="F60" t="s">
        <v>33</v>
      </c>
      <c r="G60">
        <v>0.73</v>
      </c>
    </row>
    <row r="61" spans="1:7" x14ac:dyDescent="0.2">
      <c r="A61" t="s">
        <v>45</v>
      </c>
      <c r="B61" t="s">
        <v>34</v>
      </c>
      <c r="C61">
        <v>0</v>
      </c>
      <c r="D61" t="s">
        <v>45</v>
      </c>
      <c r="E61" t="s">
        <v>45</v>
      </c>
      <c r="F61" t="s">
        <v>34</v>
      </c>
      <c r="G61">
        <v>3.54</v>
      </c>
    </row>
    <row r="62" spans="1:7" x14ac:dyDescent="0.2">
      <c r="A62" t="s">
        <v>45</v>
      </c>
      <c r="B62" t="s">
        <v>35</v>
      </c>
      <c r="C62">
        <v>2.38</v>
      </c>
      <c r="D62" t="s">
        <v>45</v>
      </c>
      <c r="E62" t="s">
        <v>45</v>
      </c>
      <c r="F62" t="s">
        <v>35</v>
      </c>
      <c r="G62">
        <v>3.07</v>
      </c>
    </row>
    <row r="63" spans="1:7" x14ac:dyDescent="0.2">
      <c r="A63" t="s">
        <v>45</v>
      </c>
      <c r="B63" t="s">
        <v>36</v>
      </c>
      <c r="C63">
        <v>2.57</v>
      </c>
      <c r="D63" t="s">
        <v>45</v>
      </c>
      <c r="E63" t="s">
        <v>45</v>
      </c>
      <c r="F63" t="s">
        <v>36</v>
      </c>
      <c r="G63">
        <v>0.42</v>
      </c>
    </row>
    <row r="64" spans="1:7" x14ac:dyDescent="0.2">
      <c r="A64" t="s">
        <v>45</v>
      </c>
      <c r="B64" t="s">
        <v>37</v>
      </c>
      <c r="C64">
        <v>2.97</v>
      </c>
      <c r="D64" t="s">
        <v>45</v>
      </c>
      <c r="E64" t="s">
        <v>45</v>
      </c>
      <c r="F64" t="s">
        <v>37</v>
      </c>
      <c r="G64">
        <v>2.67</v>
      </c>
    </row>
    <row r="65" spans="1:7" x14ac:dyDescent="0.2">
      <c r="A65" t="s">
        <v>45</v>
      </c>
      <c r="B65" t="s">
        <v>38</v>
      </c>
      <c r="C65">
        <v>1.45</v>
      </c>
      <c r="D65" t="s">
        <v>45</v>
      </c>
      <c r="E65" t="s">
        <v>45</v>
      </c>
      <c r="F65" t="s">
        <v>38</v>
      </c>
      <c r="G65">
        <v>0.18</v>
      </c>
    </row>
    <row r="66" spans="1:7" x14ac:dyDescent="0.2">
      <c r="A66" t="s">
        <v>45</v>
      </c>
      <c r="B66" t="s">
        <v>45</v>
      </c>
      <c r="C66" t="s">
        <v>45</v>
      </c>
      <c r="D66" t="s">
        <v>45</v>
      </c>
      <c r="E66" t="s">
        <v>45</v>
      </c>
      <c r="F66" t="s">
        <v>45</v>
      </c>
    </row>
    <row r="67" spans="1:7" x14ac:dyDescent="0.2">
      <c r="A67" t="s">
        <v>45</v>
      </c>
      <c r="B67" t="s">
        <v>27</v>
      </c>
      <c r="C67">
        <v>3.76</v>
      </c>
      <c r="D67" t="s">
        <v>45</v>
      </c>
      <c r="E67" t="s">
        <v>45</v>
      </c>
      <c r="F67" t="s">
        <v>27</v>
      </c>
      <c r="G67">
        <v>0.18</v>
      </c>
    </row>
    <row r="68" spans="1:7" x14ac:dyDescent="0.2">
      <c r="A68" t="s">
        <v>45</v>
      </c>
      <c r="B68" t="s">
        <v>28</v>
      </c>
      <c r="C68">
        <v>0.41</v>
      </c>
      <c r="D68" t="s">
        <v>45</v>
      </c>
      <c r="E68" t="s">
        <v>45</v>
      </c>
      <c r="F68" t="s">
        <v>28</v>
      </c>
      <c r="G68">
        <v>1.03</v>
      </c>
    </row>
    <row r="69" spans="1:7" x14ac:dyDescent="0.2">
      <c r="A69" t="s">
        <v>45</v>
      </c>
      <c r="B69" t="s">
        <v>29</v>
      </c>
      <c r="C69">
        <v>0.06</v>
      </c>
      <c r="D69" t="s">
        <v>45</v>
      </c>
      <c r="E69" t="s">
        <v>45</v>
      </c>
      <c r="F69" t="s">
        <v>29</v>
      </c>
      <c r="G69">
        <v>0.8</v>
      </c>
    </row>
    <row r="70" spans="1:7" x14ac:dyDescent="0.2">
      <c r="A70">
        <v>1997</v>
      </c>
      <c r="B70" t="s">
        <v>30</v>
      </c>
      <c r="C70">
        <v>1.8</v>
      </c>
      <c r="D70" t="s">
        <v>45</v>
      </c>
      <c r="E70">
        <v>1980</v>
      </c>
      <c r="F70" t="s">
        <v>30</v>
      </c>
      <c r="G70">
        <v>1.06</v>
      </c>
    </row>
    <row r="71" spans="1:7" x14ac:dyDescent="0.2">
      <c r="A71" t="s">
        <v>45</v>
      </c>
      <c r="B71" t="s">
        <v>31</v>
      </c>
      <c r="C71">
        <v>1.51</v>
      </c>
      <c r="D71" t="s">
        <v>45</v>
      </c>
      <c r="E71" t="s">
        <v>45</v>
      </c>
      <c r="F71" t="s">
        <v>31</v>
      </c>
      <c r="G71">
        <v>1.04</v>
      </c>
    </row>
    <row r="72" spans="1:7" x14ac:dyDescent="0.2">
      <c r="A72" t="s">
        <v>45</v>
      </c>
      <c r="B72" t="s">
        <v>32</v>
      </c>
      <c r="C72">
        <v>0.28000000000000003</v>
      </c>
      <c r="D72" t="s">
        <v>45</v>
      </c>
      <c r="E72" t="s">
        <v>45</v>
      </c>
      <c r="F72" t="s">
        <v>32</v>
      </c>
      <c r="G72">
        <v>0.96</v>
      </c>
    </row>
    <row r="73" spans="1:7" x14ac:dyDescent="0.2">
      <c r="A73" t="s">
        <v>45</v>
      </c>
      <c r="B73" t="s">
        <v>33</v>
      </c>
      <c r="C73">
        <v>1.8</v>
      </c>
      <c r="D73" t="s">
        <v>45</v>
      </c>
      <c r="E73" t="s">
        <v>45</v>
      </c>
      <c r="F73" t="s">
        <v>33</v>
      </c>
      <c r="G73">
        <v>1.36</v>
      </c>
    </row>
    <row r="74" spans="1:7" x14ac:dyDescent="0.2">
      <c r="A74" t="s">
        <v>45</v>
      </c>
      <c r="B74" t="s">
        <v>34</v>
      </c>
      <c r="C74">
        <v>0.66</v>
      </c>
      <c r="D74" t="s">
        <v>45</v>
      </c>
      <c r="E74" t="s">
        <v>45</v>
      </c>
      <c r="F74" t="s">
        <v>34</v>
      </c>
      <c r="G74">
        <v>1.1100000000000001</v>
      </c>
    </row>
    <row r="75" spans="1:7" x14ac:dyDescent="0.2">
      <c r="A75" t="s">
        <v>45</v>
      </c>
      <c r="B75" t="s">
        <v>35</v>
      </c>
      <c r="C75">
        <v>2.39</v>
      </c>
      <c r="D75" t="s">
        <v>45</v>
      </c>
      <c r="E75" t="s">
        <v>45</v>
      </c>
      <c r="F75" t="s">
        <v>35</v>
      </c>
      <c r="G75">
        <v>0.01</v>
      </c>
    </row>
    <row r="76" spans="1:7" x14ac:dyDescent="0.2">
      <c r="A76" t="s">
        <v>45</v>
      </c>
      <c r="B76" t="s">
        <v>36</v>
      </c>
      <c r="C76">
        <v>1.92</v>
      </c>
      <c r="D76" t="s">
        <v>45</v>
      </c>
      <c r="E76" t="s">
        <v>45</v>
      </c>
      <c r="F76" t="s">
        <v>36</v>
      </c>
      <c r="G76">
        <v>0.69</v>
      </c>
    </row>
    <row r="77" spans="1:7" x14ac:dyDescent="0.2">
      <c r="A77" t="s">
        <v>45</v>
      </c>
      <c r="B77" t="s">
        <v>37</v>
      </c>
      <c r="C77">
        <v>3.69</v>
      </c>
      <c r="D77" t="s">
        <v>45</v>
      </c>
      <c r="E77" t="s">
        <v>45</v>
      </c>
      <c r="F77" t="s">
        <v>37</v>
      </c>
      <c r="G77">
        <v>2.1</v>
      </c>
    </row>
    <row r="78" spans="1:7" x14ac:dyDescent="0.2">
      <c r="A78" t="s">
        <v>45</v>
      </c>
      <c r="B78" t="s">
        <v>38</v>
      </c>
      <c r="C78">
        <v>2.4</v>
      </c>
      <c r="D78" t="s">
        <v>45</v>
      </c>
      <c r="E78" t="s">
        <v>45</v>
      </c>
      <c r="F78" t="s">
        <v>38</v>
      </c>
      <c r="G78">
        <v>1.43</v>
      </c>
    </row>
    <row r="79" spans="1:7" x14ac:dyDescent="0.2">
      <c r="A79" t="s">
        <v>45</v>
      </c>
      <c r="B79" t="s">
        <v>45</v>
      </c>
      <c r="C79" t="s">
        <v>45</v>
      </c>
      <c r="D79" t="s">
        <v>45</v>
      </c>
      <c r="E79" t="s">
        <v>45</v>
      </c>
      <c r="F79" t="s">
        <v>45</v>
      </c>
    </row>
    <row r="80" spans="1:7" x14ac:dyDescent="0.2">
      <c r="A80" t="s">
        <v>45</v>
      </c>
      <c r="B80" t="s">
        <v>27</v>
      </c>
      <c r="C80">
        <v>0.6</v>
      </c>
      <c r="D80" t="s">
        <v>45</v>
      </c>
      <c r="E80" t="s">
        <v>45</v>
      </c>
      <c r="F80" t="s">
        <v>27</v>
      </c>
      <c r="G80">
        <v>1.0900000000000001</v>
      </c>
    </row>
    <row r="81" spans="1:7" x14ac:dyDescent="0.2">
      <c r="A81" t="s">
        <v>45</v>
      </c>
      <c r="B81" t="s">
        <v>28</v>
      </c>
      <c r="C81">
        <v>1.1599999999999999</v>
      </c>
      <c r="D81" t="s">
        <v>45</v>
      </c>
      <c r="E81" t="s">
        <v>45</v>
      </c>
      <c r="F81" t="s">
        <v>28</v>
      </c>
      <c r="G81">
        <v>2.14</v>
      </c>
    </row>
    <row r="82" spans="1:7" x14ac:dyDescent="0.2">
      <c r="A82" t="s">
        <v>45</v>
      </c>
      <c r="B82" t="s">
        <v>29</v>
      </c>
      <c r="C82">
        <v>1.68</v>
      </c>
      <c r="D82" t="s">
        <v>45</v>
      </c>
      <c r="E82" t="s">
        <v>45</v>
      </c>
      <c r="F82" t="s">
        <v>29</v>
      </c>
      <c r="G82">
        <v>0.77</v>
      </c>
    </row>
    <row r="83" spans="1:7" x14ac:dyDescent="0.2">
      <c r="A83">
        <v>1998</v>
      </c>
      <c r="B83" t="s">
        <v>30</v>
      </c>
      <c r="C83">
        <v>0.03</v>
      </c>
      <c r="D83" t="s">
        <v>45</v>
      </c>
      <c r="E83">
        <v>1981</v>
      </c>
      <c r="F83" t="s">
        <v>30</v>
      </c>
      <c r="G83">
        <v>0.2</v>
      </c>
    </row>
    <row r="84" spans="1:7" x14ac:dyDescent="0.2">
      <c r="A84" t="s">
        <v>45</v>
      </c>
      <c r="B84" t="s">
        <v>31</v>
      </c>
      <c r="C84">
        <v>0.27</v>
      </c>
      <c r="D84" t="s">
        <v>45</v>
      </c>
      <c r="E84" t="s">
        <v>45</v>
      </c>
      <c r="F84" t="s">
        <v>31</v>
      </c>
      <c r="G84">
        <v>7.0000000000000007E-2</v>
      </c>
    </row>
    <row r="85" spans="1:7" x14ac:dyDescent="0.2">
      <c r="A85" t="s">
        <v>45</v>
      </c>
      <c r="B85" t="s">
        <v>32</v>
      </c>
      <c r="C85">
        <v>1.57</v>
      </c>
      <c r="D85" t="s">
        <v>45</v>
      </c>
      <c r="E85" t="s">
        <v>45</v>
      </c>
      <c r="F85" t="s">
        <v>32</v>
      </c>
      <c r="G85">
        <v>1.9</v>
      </c>
    </row>
    <row r="86" spans="1:7" x14ac:dyDescent="0.2">
      <c r="A86" t="s">
        <v>45</v>
      </c>
      <c r="B86" t="s">
        <v>33</v>
      </c>
      <c r="C86">
        <v>0.63</v>
      </c>
      <c r="D86" t="s">
        <v>45</v>
      </c>
      <c r="E86" t="s">
        <v>45</v>
      </c>
      <c r="F86" t="s">
        <v>33</v>
      </c>
      <c r="G86">
        <v>1.37</v>
      </c>
    </row>
    <row r="87" spans="1:7" x14ac:dyDescent="0.2">
      <c r="A87" t="s">
        <v>45</v>
      </c>
      <c r="B87" t="s">
        <v>34</v>
      </c>
      <c r="C87">
        <v>0.01</v>
      </c>
      <c r="D87" t="s">
        <v>45</v>
      </c>
      <c r="E87" t="s">
        <v>45</v>
      </c>
      <c r="F87" t="s">
        <v>34</v>
      </c>
      <c r="G87">
        <v>2.37</v>
      </c>
    </row>
    <row r="88" spans="1:7" x14ac:dyDescent="0.2">
      <c r="A88" t="s">
        <v>45</v>
      </c>
      <c r="B88" t="s">
        <v>35</v>
      </c>
      <c r="C88">
        <v>0.4</v>
      </c>
      <c r="D88" t="s">
        <v>45</v>
      </c>
      <c r="E88" t="s">
        <v>45</v>
      </c>
      <c r="F88" t="s">
        <v>35</v>
      </c>
      <c r="G88">
        <v>1.27</v>
      </c>
    </row>
    <row r="89" spans="1:7" x14ac:dyDescent="0.2">
      <c r="A89" t="s">
        <v>45</v>
      </c>
      <c r="B89" t="s">
        <v>36</v>
      </c>
      <c r="C89">
        <v>2.56</v>
      </c>
      <c r="D89" t="s">
        <v>45</v>
      </c>
      <c r="E89" t="s">
        <v>45</v>
      </c>
      <c r="F89" t="s">
        <v>36</v>
      </c>
      <c r="G89">
        <v>1.76</v>
      </c>
    </row>
    <row r="90" spans="1:7" x14ac:dyDescent="0.2">
      <c r="A90" t="s">
        <v>45</v>
      </c>
      <c r="B90" t="s">
        <v>37</v>
      </c>
      <c r="C90">
        <v>2.08</v>
      </c>
      <c r="D90" t="s">
        <v>45</v>
      </c>
      <c r="E90" t="s">
        <v>45</v>
      </c>
      <c r="F90" t="s">
        <v>37</v>
      </c>
      <c r="G90">
        <v>1.69</v>
      </c>
    </row>
    <row r="91" spans="1:7" x14ac:dyDescent="0.2">
      <c r="A91" t="s">
        <v>45</v>
      </c>
      <c r="B91" t="s">
        <v>38</v>
      </c>
      <c r="C91">
        <v>0.77</v>
      </c>
      <c r="D91" t="s">
        <v>45</v>
      </c>
      <c r="E91" t="s">
        <v>45</v>
      </c>
      <c r="F91" t="s">
        <v>38</v>
      </c>
      <c r="G91">
        <v>2.42</v>
      </c>
    </row>
    <row r="92" spans="1:7" x14ac:dyDescent="0.2">
      <c r="A92" t="s">
        <v>45</v>
      </c>
      <c r="B92" t="s">
        <v>45</v>
      </c>
      <c r="C92" t="s">
        <v>45</v>
      </c>
      <c r="D92" t="s">
        <v>45</v>
      </c>
      <c r="E92" t="s">
        <v>45</v>
      </c>
      <c r="F92" t="s">
        <v>45</v>
      </c>
    </row>
    <row r="93" spans="1:7" x14ac:dyDescent="0.2">
      <c r="A93" t="s">
        <v>45</v>
      </c>
      <c r="B93" t="s">
        <v>27</v>
      </c>
      <c r="C93">
        <v>3.72</v>
      </c>
      <c r="D93" t="s">
        <v>45</v>
      </c>
      <c r="E93" t="s">
        <v>45</v>
      </c>
      <c r="F93" t="s">
        <v>27</v>
      </c>
      <c r="G93">
        <v>1.28</v>
      </c>
    </row>
    <row r="94" spans="1:7" x14ac:dyDescent="0.2">
      <c r="A94" t="s">
        <v>45</v>
      </c>
      <c r="B94" t="s">
        <v>28</v>
      </c>
      <c r="C94">
        <v>0.34</v>
      </c>
      <c r="D94" t="s">
        <v>45</v>
      </c>
      <c r="E94" t="s">
        <v>45</v>
      </c>
      <c r="F94" t="s">
        <v>28</v>
      </c>
      <c r="G94">
        <v>0.72</v>
      </c>
    </row>
    <row r="95" spans="1:7" x14ac:dyDescent="0.2">
      <c r="A95" t="s">
        <v>45</v>
      </c>
      <c r="B95" t="s">
        <v>29</v>
      </c>
      <c r="C95">
        <v>0.05</v>
      </c>
      <c r="D95" t="s">
        <v>45</v>
      </c>
      <c r="E95" t="s">
        <v>45</v>
      </c>
      <c r="F95" t="s">
        <v>29</v>
      </c>
      <c r="G95">
        <v>0.01</v>
      </c>
    </row>
    <row r="96" spans="1:7" x14ac:dyDescent="0.2">
      <c r="A96">
        <v>1999</v>
      </c>
      <c r="B96" t="s">
        <v>30</v>
      </c>
      <c r="C96">
        <v>0.13</v>
      </c>
      <c r="D96" t="s">
        <v>45</v>
      </c>
      <c r="E96">
        <v>1982</v>
      </c>
      <c r="F96" t="s">
        <v>30</v>
      </c>
      <c r="G96">
        <v>1.17</v>
      </c>
    </row>
    <row r="97" spans="1:7" x14ac:dyDescent="0.2">
      <c r="A97" t="s">
        <v>45</v>
      </c>
      <c r="B97" t="s">
        <v>31</v>
      </c>
      <c r="C97">
        <v>0.01</v>
      </c>
      <c r="D97" t="s">
        <v>45</v>
      </c>
      <c r="E97" t="s">
        <v>45</v>
      </c>
      <c r="F97" t="s">
        <v>31</v>
      </c>
      <c r="G97">
        <v>1.68</v>
      </c>
    </row>
    <row r="98" spans="1:7" x14ac:dyDescent="0.2">
      <c r="A98" t="s">
        <v>45</v>
      </c>
      <c r="B98" t="s">
        <v>32</v>
      </c>
      <c r="C98">
        <v>1.33</v>
      </c>
      <c r="D98" t="s">
        <v>45</v>
      </c>
      <c r="E98" t="s">
        <v>45</v>
      </c>
      <c r="F98" t="s">
        <v>32</v>
      </c>
      <c r="G98">
        <v>1.08</v>
      </c>
    </row>
    <row r="99" spans="1:7" x14ac:dyDescent="0.2">
      <c r="A99" t="s">
        <v>45</v>
      </c>
      <c r="B99" t="s">
        <v>33</v>
      </c>
      <c r="C99">
        <v>1.98</v>
      </c>
      <c r="D99" t="s">
        <v>45</v>
      </c>
      <c r="E99" t="s">
        <v>45</v>
      </c>
      <c r="F99" t="s">
        <v>33</v>
      </c>
      <c r="G99">
        <v>0.23</v>
      </c>
    </row>
    <row r="100" spans="1:7" x14ac:dyDescent="0.2">
      <c r="A100" t="s">
        <v>45</v>
      </c>
      <c r="B100" t="s">
        <v>34</v>
      </c>
      <c r="C100">
        <v>1.61</v>
      </c>
      <c r="D100" t="s">
        <v>45</v>
      </c>
      <c r="E100" t="s">
        <v>45</v>
      </c>
      <c r="F100" t="s">
        <v>34</v>
      </c>
      <c r="G100">
        <v>1.54</v>
      </c>
    </row>
    <row r="101" spans="1:7" x14ac:dyDescent="0.2">
      <c r="A101" t="s">
        <v>45</v>
      </c>
      <c r="B101" t="s">
        <v>35</v>
      </c>
      <c r="C101">
        <v>2.0699999999999998</v>
      </c>
      <c r="D101" t="s">
        <v>45</v>
      </c>
      <c r="E101" t="s">
        <v>45</v>
      </c>
      <c r="F101" t="s">
        <v>35</v>
      </c>
      <c r="G101">
        <v>0.38</v>
      </c>
    </row>
    <row r="102" spans="1:7" x14ac:dyDescent="0.2">
      <c r="A102" t="s">
        <v>45</v>
      </c>
      <c r="B102" t="s">
        <v>36</v>
      </c>
      <c r="C102">
        <v>2.35</v>
      </c>
      <c r="D102" t="s">
        <v>45</v>
      </c>
      <c r="E102" t="s">
        <v>45</v>
      </c>
      <c r="F102" t="s">
        <v>36</v>
      </c>
      <c r="G102">
        <v>3.12</v>
      </c>
    </row>
    <row r="103" spans="1:7" x14ac:dyDescent="0.2">
      <c r="A103" t="s">
        <v>45</v>
      </c>
      <c r="B103" t="s">
        <v>37</v>
      </c>
      <c r="C103">
        <v>2.74</v>
      </c>
      <c r="D103" t="s">
        <v>45</v>
      </c>
      <c r="E103" t="s">
        <v>45</v>
      </c>
      <c r="F103" t="s">
        <v>37</v>
      </c>
      <c r="G103">
        <v>3.79</v>
      </c>
    </row>
    <row r="104" spans="1:7" x14ac:dyDescent="0.2">
      <c r="A104" t="s">
        <v>45</v>
      </c>
      <c r="B104" t="s">
        <v>38</v>
      </c>
      <c r="C104">
        <v>2.44</v>
      </c>
      <c r="D104" t="s">
        <v>45</v>
      </c>
      <c r="E104" t="s">
        <v>45</v>
      </c>
      <c r="F104" t="s">
        <v>38</v>
      </c>
      <c r="G104">
        <v>3.24</v>
      </c>
    </row>
    <row r="105" spans="1:7" x14ac:dyDescent="0.2">
      <c r="A105" t="s">
        <v>45</v>
      </c>
      <c r="B105" t="s">
        <v>45</v>
      </c>
      <c r="C105" t="s">
        <v>45</v>
      </c>
      <c r="D105" t="s">
        <v>45</v>
      </c>
      <c r="E105" t="s">
        <v>45</v>
      </c>
      <c r="F105" t="s">
        <v>45</v>
      </c>
    </row>
    <row r="106" spans="1:7" x14ac:dyDescent="0.2">
      <c r="A106" t="s">
        <v>45</v>
      </c>
      <c r="B106" t="s">
        <v>27</v>
      </c>
      <c r="C106">
        <v>0.51</v>
      </c>
      <c r="D106" t="s">
        <v>45</v>
      </c>
      <c r="E106" t="s">
        <v>45</v>
      </c>
      <c r="F106" t="s">
        <v>27</v>
      </c>
      <c r="G106">
        <v>0.6</v>
      </c>
    </row>
    <row r="107" spans="1:7" x14ac:dyDescent="0.2">
      <c r="A107" t="s">
        <v>45</v>
      </c>
      <c r="B107" t="s">
        <v>28</v>
      </c>
      <c r="C107">
        <v>0.05</v>
      </c>
      <c r="D107" t="s">
        <v>45</v>
      </c>
      <c r="E107" t="s">
        <v>45</v>
      </c>
      <c r="F107" t="s">
        <v>28</v>
      </c>
      <c r="G107">
        <v>2.08</v>
      </c>
    </row>
    <row r="108" spans="1:7" x14ac:dyDescent="0.2">
      <c r="A108" t="s">
        <v>45</v>
      </c>
      <c r="B108" t="s">
        <v>29</v>
      </c>
      <c r="C108">
        <v>0.56000000000000005</v>
      </c>
      <c r="D108" t="s">
        <v>45</v>
      </c>
      <c r="E108" t="s">
        <v>45</v>
      </c>
      <c r="F108" t="s">
        <v>29</v>
      </c>
      <c r="G108">
        <v>1.77</v>
      </c>
    </row>
    <row r="109" spans="1:7" x14ac:dyDescent="0.2">
      <c r="A109">
        <v>2000</v>
      </c>
      <c r="B109" t="s">
        <v>30</v>
      </c>
      <c r="C109">
        <v>0.36</v>
      </c>
      <c r="D109" t="s">
        <v>45</v>
      </c>
      <c r="E109">
        <v>1983</v>
      </c>
      <c r="F109" t="s">
        <v>30</v>
      </c>
      <c r="G109">
        <v>1.01</v>
      </c>
    </row>
    <row r="110" spans="1:7" x14ac:dyDescent="0.2">
      <c r="A110" t="s">
        <v>45</v>
      </c>
      <c r="B110" t="s">
        <v>31</v>
      </c>
      <c r="C110">
        <v>1.4999999999999999E-2</v>
      </c>
      <c r="D110" t="s">
        <v>45</v>
      </c>
      <c r="E110" t="s">
        <v>45</v>
      </c>
      <c r="F110" t="s">
        <v>31</v>
      </c>
      <c r="G110">
        <v>1.29</v>
      </c>
    </row>
    <row r="111" spans="1:7" x14ac:dyDescent="0.2">
      <c r="A111" t="s">
        <v>45</v>
      </c>
      <c r="B111" t="s">
        <v>32</v>
      </c>
      <c r="C111">
        <v>0.89</v>
      </c>
      <c r="D111" t="s">
        <v>45</v>
      </c>
      <c r="E111" t="s">
        <v>45</v>
      </c>
      <c r="F111" t="s">
        <v>32</v>
      </c>
      <c r="G111">
        <v>1.47</v>
      </c>
    </row>
    <row r="112" spans="1:7" x14ac:dyDescent="0.2">
      <c r="A112" t="s">
        <v>45</v>
      </c>
      <c r="B112" t="s">
        <v>33</v>
      </c>
      <c r="C112">
        <v>0.36</v>
      </c>
      <c r="D112" t="s">
        <v>45</v>
      </c>
      <c r="E112" t="s">
        <v>45</v>
      </c>
      <c r="F112" t="s">
        <v>33</v>
      </c>
      <c r="G112">
        <v>1.0900000000000001</v>
      </c>
    </row>
    <row r="113" spans="1:7" x14ac:dyDescent="0.2">
      <c r="A113" t="s">
        <v>45</v>
      </c>
      <c r="B113" t="s">
        <v>34</v>
      </c>
      <c r="C113">
        <v>0.01</v>
      </c>
      <c r="D113" t="s">
        <v>45</v>
      </c>
      <c r="E113" t="s">
        <v>45</v>
      </c>
      <c r="F113" t="s">
        <v>34</v>
      </c>
      <c r="G113">
        <v>0.5</v>
      </c>
    </row>
    <row r="114" spans="1:7" x14ac:dyDescent="0.2">
      <c r="A114" t="s">
        <v>45</v>
      </c>
      <c r="B114" t="s">
        <v>35</v>
      </c>
      <c r="C114">
        <v>1.77</v>
      </c>
      <c r="D114" t="s">
        <v>45</v>
      </c>
      <c r="E114" t="s">
        <v>45</v>
      </c>
      <c r="F114" t="s">
        <v>35</v>
      </c>
      <c r="G114">
        <v>0.84</v>
      </c>
    </row>
    <row r="115" spans="1:7" x14ac:dyDescent="0.2">
      <c r="A115" t="s">
        <v>45</v>
      </c>
      <c r="B115" t="s">
        <v>36</v>
      </c>
      <c r="C115">
        <v>1.1499999999999999</v>
      </c>
      <c r="D115" t="s">
        <v>45</v>
      </c>
      <c r="E115" t="s">
        <v>45</v>
      </c>
      <c r="F115" t="s">
        <v>36</v>
      </c>
      <c r="G115">
        <v>2.39</v>
      </c>
    </row>
    <row r="116" spans="1:7" x14ac:dyDescent="0.2">
      <c r="A116" t="s">
        <v>45</v>
      </c>
      <c r="B116" t="s">
        <v>37</v>
      </c>
      <c r="C116">
        <v>3.47</v>
      </c>
      <c r="D116" t="s">
        <v>45</v>
      </c>
      <c r="E116" t="s">
        <v>45</v>
      </c>
      <c r="F116" t="s">
        <v>37</v>
      </c>
      <c r="G116">
        <v>3.44</v>
      </c>
    </row>
    <row r="117" spans="1:7" x14ac:dyDescent="0.2">
      <c r="A117" t="s">
        <v>45</v>
      </c>
      <c r="B117" t="s">
        <v>38</v>
      </c>
      <c r="C117">
        <v>0.36</v>
      </c>
      <c r="D117" t="s">
        <v>45</v>
      </c>
      <c r="E117" t="s">
        <v>45</v>
      </c>
      <c r="F117" t="s">
        <v>38</v>
      </c>
      <c r="G117">
        <v>0.95</v>
      </c>
    </row>
    <row r="118" spans="1:7" x14ac:dyDescent="0.2">
      <c r="A118" t="s">
        <v>45</v>
      </c>
      <c r="B118" t="s">
        <v>45</v>
      </c>
      <c r="C118" t="s">
        <v>45</v>
      </c>
      <c r="D118" t="s">
        <v>45</v>
      </c>
      <c r="E118" t="s">
        <v>45</v>
      </c>
      <c r="F118" t="s">
        <v>45</v>
      </c>
    </row>
    <row r="119" spans="1:7" x14ac:dyDescent="0.2">
      <c r="A119" t="s">
        <v>45</v>
      </c>
      <c r="B119" t="s">
        <v>27</v>
      </c>
      <c r="C119">
        <v>3.48</v>
      </c>
      <c r="D119" t="s">
        <v>45</v>
      </c>
      <c r="E119" t="s">
        <v>45</v>
      </c>
      <c r="F119" t="s">
        <v>27</v>
      </c>
      <c r="G119">
        <v>1.1100000000000001</v>
      </c>
    </row>
    <row r="120" spans="1:7" x14ac:dyDescent="0.2">
      <c r="A120" t="s">
        <v>45</v>
      </c>
      <c r="B120" t="s">
        <v>28</v>
      </c>
      <c r="C120">
        <v>1.76</v>
      </c>
      <c r="D120" t="s">
        <v>45</v>
      </c>
      <c r="E120" t="s">
        <v>45</v>
      </c>
      <c r="F120" t="s">
        <v>28</v>
      </c>
      <c r="G120">
        <v>0.51</v>
      </c>
    </row>
    <row r="121" spans="1:7" x14ac:dyDescent="0.2">
      <c r="A121" t="s">
        <v>45</v>
      </c>
      <c r="B121" t="s">
        <v>29</v>
      </c>
      <c r="C121">
        <v>0.25</v>
      </c>
      <c r="D121" t="s">
        <v>45</v>
      </c>
      <c r="E121" t="s">
        <v>45</v>
      </c>
      <c r="F121" t="s">
        <v>29</v>
      </c>
      <c r="G121">
        <v>1.0900000000000001</v>
      </c>
    </row>
    <row r="122" spans="1:7" x14ac:dyDescent="0.2">
      <c r="A122">
        <v>2001</v>
      </c>
      <c r="B122" t="s">
        <v>30</v>
      </c>
      <c r="C122">
        <v>1.6</v>
      </c>
      <c r="D122" t="s">
        <v>45</v>
      </c>
      <c r="E122">
        <v>1984</v>
      </c>
      <c r="F122" t="s">
        <v>30</v>
      </c>
      <c r="G122">
        <v>0.88</v>
      </c>
    </row>
    <row r="123" spans="1:7" x14ac:dyDescent="0.2">
      <c r="A123" t="s">
        <v>45</v>
      </c>
      <c r="B123" t="s">
        <v>31</v>
      </c>
      <c r="C123">
        <v>0.6</v>
      </c>
      <c r="D123" t="s">
        <v>45</v>
      </c>
      <c r="E123" t="s">
        <v>45</v>
      </c>
      <c r="F123" t="s">
        <v>31</v>
      </c>
      <c r="G123">
        <v>0.03</v>
      </c>
    </row>
    <row r="124" spans="1:7" x14ac:dyDescent="0.2">
      <c r="A124" t="s">
        <v>45</v>
      </c>
      <c r="B124" t="s">
        <v>32</v>
      </c>
      <c r="C124">
        <v>0.55000000000000004</v>
      </c>
      <c r="D124" t="s">
        <v>45</v>
      </c>
      <c r="E124" t="s">
        <v>45</v>
      </c>
      <c r="F124" t="s">
        <v>32</v>
      </c>
      <c r="G124">
        <v>1.63</v>
      </c>
    </row>
    <row r="125" spans="1:7" x14ac:dyDescent="0.2">
      <c r="A125" t="s">
        <v>45</v>
      </c>
      <c r="B125" t="s">
        <v>33</v>
      </c>
      <c r="C125">
        <v>0.6</v>
      </c>
      <c r="D125" t="s">
        <v>45</v>
      </c>
      <c r="E125" t="s">
        <v>45</v>
      </c>
      <c r="F125" t="s">
        <v>33</v>
      </c>
      <c r="G125">
        <v>0.38</v>
      </c>
    </row>
    <row r="126" spans="1:7" x14ac:dyDescent="0.2">
      <c r="A126" t="s">
        <v>45</v>
      </c>
      <c r="B126" t="s">
        <v>34</v>
      </c>
      <c r="C126">
        <v>0.69</v>
      </c>
      <c r="D126" t="s">
        <v>45</v>
      </c>
      <c r="E126" t="s">
        <v>45</v>
      </c>
      <c r="F126" t="s">
        <v>34</v>
      </c>
      <c r="G126">
        <v>0.32</v>
      </c>
    </row>
    <row r="127" spans="1:7" x14ac:dyDescent="0.2">
      <c r="A127" t="s">
        <v>45</v>
      </c>
      <c r="B127" t="s">
        <v>35</v>
      </c>
      <c r="C127">
        <v>0.42</v>
      </c>
      <c r="D127" t="s">
        <v>45</v>
      </c>
      <c r="E127" t="s">
        <v>45</v>
      </c>
      <c r="F127" t="s">
        <v>35</v>
      </c>
      <c r="G127">
        <v>1.41</v>
      </c>
    </row>
    <row r="128" spans="1:7" x14ac:dyDescent="0.2">
      <c r="A128" t="s">
        <v>45</v>
      </c>
      <c r="B128" t="s">
        <v>36</v>
      </c>
      <c r="C128">
        <v>2.21</v>
      </c>
      <c r="D128" t="s">
        <v>45</v>
      </c>
      <c r="E128" t="s">
        <v>45</v>
      </c>
      <c r="F128" t="s">
        <v>36</v>
      </c>
      <c r="G128">
        <v>1.51</v>
      </c>
    </row>
    <row r="129" spans="1:7" x14ac:dyDescent="0.2">
      <c r="A129" t="s">
        <v>45</v>
      </c>
      <c r="B129" t="s">
        <v>37</v>
      </c>
      <c r="C129">
        <v>2.08</v>
      </c>
      <c r="D129" t="s">
        <v>45</v>
      </c>
      <c r="E129" t="s">
        <v>45</v>
      </c>
      <c r="F129" t="s">
        <v>37</v>
      </c>
      <c r="G129">
        <v>3.68</v>
      </c>
    </row>
    <row r="130" spans="1:7" x14ac:dyDescent="0.2">
      <c r="A130" t="s">
        <v>45</v>
      </c>
      <c r="B130" t="s">
        <v>38</v>
      </c>
      <c r="C130">
        <v>0.42</v>
      </c>
      <c r="D130" t="s">
        <v>45</v>
      </c>
      <c r="E130" t="s">
        <v>45</v>
      </c>
      <c r="F130" t="s">
        <v>38</v>
      </c>
      <c r="G130">
        <v>0.85</v>
      </c>
    </row>
    <row r="131" spans="1:7" x14ac:dyDescent="0.2">
      <c r="A131" t="s">
        <v>45</v>
      </c>
      <c r="B131" t="s">
        <v>45</v>
      </c>
      <c r="C131" t="s">
        <v>45</v>
      </c>
      <c r="D131" t="s">
        <v>45</v>
      </c>
      <c r="E131" t="s">
        <v>45</v>
      </c>
      <c r="F131" t="s">
        <v>45</v>
      </c>
    </row>
    <row r="132" spans="1:7" x14ac:dyDescent="0.2">
      <c r="A132" t="s">
        <v>45</v>
      </c>
      <c r="B132" t="s">
        <v>27</v>
      </c>
      <c r="C132">
        <v>0.27</v>
      </c>
      <c r="D132" t="s">
        <v>45</v>
      </c>
      <c r="E132" t="s">
        <v>45</v>
      </c>
      <c r="F132" t="s">
        <v>27</v>
      </c>
      <c r="G132">
        <v>3.19</v>
      </c>
    </row>
    <row r="133" spans="1:7" x14ac:dyDescent="0.2">
      <c r="A133" t="s">
        <v>45</v>
      </c>
      <c r="B133" t="s">
        <v>28</v>
      </c>
      <c r="C133">
        <v>0.26</v>
      </c>
      <c r="D133" t="s">
        <v>45</v>
      </c>
      <c r="E133" t="s">
        <v>45</v>
      </c>
      <c r="F133" t="s">
        <v>28</v>
      </c>
      <c r="G133">
        <v>0.33</v>
      </c>
    </row>
    <row r="134" spans="1:7" x14ac:dyDescent="0.2">
      <c r="A134" t="s">
        <v>45</v>
      </c>
      <c r="B134" t="s">
        <v>29</v>
      </c>
      <c r="C134">
        <v>0.24</v>
      </c>
      <c r="D134" t="s">
        <v>45</v>
      </c>
      <c r="E134" t="s">
        <v>45</v>
      </c>
      <c r="F134" t="s">
        <v>29</v>
      </c>
      <c r="G134">
        <v>2.1</v>
      </c>
    </row>
    <row r="135" spans="1:7" x14ac:dyDescent="0.2">
      <c r="A135">
        <v>2002</v>
      </c>
      <c r="B135" t="s">
        <v>30</v>
      </c>
      <c r="C135">
        <v>0.61</v>
      </c>
      <c r="D135" t="s">
        <v>45</v>
      </c>
      <c r="E135">
        <v>1985</v>
      </c>
      <c r="F135" t="s">
        <v>30</v>
      </c>
      <c r="G135">
        <v>0.86</v>
      </c>
    </row>
    <row r="136" spans="1:7" x14ac:dyDescent="0.2">
      <c r="A136" t="s">
        <v>45</v>
      </c>
      <c r="B136" t="s">
        <v>31</v>
      </c>
      <c r="C136">
        <v>0.06</v>
      </c>
      <c r="D136" t="s">
        <v>45</v>
      </c>
      <c r="E136" t="s">
        <v>45</v>
      </c>
      <c r="F136" t="s">
        <v>31</v>
      </c>
      <c r="G136">
        <v>1.27</v>
      </c>
    </row>
    <row r="137" spans="1:7" x14ac:dyDescent="0.2">
      <c r="A137" t="s">
        <v>45</v>
      </c>
      <c r="B137" t="s">
        <v>32</v>
      </c>
      <c r="C137">
        <v>0</v>
      </c>
      <c r="D137" t="s">
        <v>45</v>
      </c>
      <c r="E137" t="s">
        <v>45</v>
      </c>
      <c r="F137" t="s">
        <v>32</v>
      </c>
      <c r="G137">
        <v>4.3899999999999997</v>
      </c>
    </row>
    <row r="138" spans="1:7" x14ac:dyDescent="0.2">
      <c r="A138" t="s">
        <v>45</v>
      </c>
      <c r="B138" t="s">
        <v>33</v>
      </c>
      <c r="C138">
        <v>0.17</v>
      </c>
      <c r="D138" t="s">
        <v>45</v>
      </c>
      <c r="E138" t="s">
        <v>45</v>
      </c>
      <c r="F138" t="s">
        <v>33</v>
      </c>
      <c r="G138">
        <v>3.16</v>
      </c>
    </row>
    <row r="139" spans="1:7" x14ac:dyDescent="0.2">
      <c r="A139" t="s">
        <v>45</v>
      </c>
      <c r="B139" t="s">
        <v>34</v>
      </c>
      <c r="C139">
        <v>7.0000000000000007E-2</v>
      </c>
      <c r="D139" t="s">
        <v>45</v>
      </c>
      <c r="E139" t="s">
        <v>45</v>
      </c>
      <c r="F139" t="s">
        <v>34</v>
      </c>
      <c r="G139">
        <v>1.71</v>
      </c>
    </row>
    <row r="140" spans="1:7" x14ac:dyDescent="0.2">
      <c r="A140" t="s">
        <v>45</v>
      </c>
      <c r="B140" t="s">
        <v>35</v>
      </c>
      <c r="C140">
        <v>0.36</v>
      </c>
      <c r="D140" t="s">
        <v>45</v>
      </c>
      <c r="E140" t="s">
        <v>45</v>
      </c>
      <c r="F140" t="s">
        <v>35</v>
      </c>
      <c r="G140">
        <v>1.28</v>
      </c>
    </row>
    <row r="141" spans="1:7" x14ac:dyDescent="0.2">
      <c r="A141" t="s">
        <v>45</v>
      </c>
      <c r="B141" t="s">
        <v>36</v>
      </c>
      <c r="C141">
        <v>0.68</v>
      </c>
      <c r="D141" t="s">
        <v>45</v>
      </c>
      <c r="E141" t="s">
        <v>45</v>
      </c>
      <c r="F141" t="s">
        <v>36</v>
      </c>
      <c r="G141">
        <v>1.94</v>
      </c>
    </row>
    <row r="142" spans="1:7" x14ac:dyDescent="0.2">
      <c r="A142" t="s">
        <v>45</v>
      </c>
      <c r="B142" t="s">
        <v>37</v>
      </c>
      <c r="C142">
        <v>0.97</v>
      </c>
      <c r="D142" t="s">
        <v>45</v>
      </c>
      <c r="E142" t="s">
        <v>45</v>
      </c>
      <c r="F142" t="s">
        <v>37</v>
      </c>
      <c r="G142">
        <v>2.57</v>
      </c>
    </row>
    <row r="143" spans="1:7" x14ac:dyDescent="0.2">
      <c r="A143" t="s">
        <v>45</v>
      </c>
      <c r="B143" t="s">
        <v>38</v>
      </c>
      <c r="C143">
        <v>1.66</v>
      </c>
      <c r="D143" t="s">
        <v>45</v>
      </c>
      <c r="E143" t="s">
        <v>45</v>
      </c>
      <c r="F143" t="s">
        <v>38</v>
      </c>
      <c r="G143">
        <v>2.89</v>
      </c>
    </row>
    <row r="144" spans="1:7" x14ac:dyDescent="0.2">
      <c r="A144" t="s">
        <v>45</v>
      </c>
      <c r="B144" t="s">
        <v>45</v>
      </c>
      <c r="C144" t="s">
        <v>45</v>
      </c>
      <c r="D144" t="s">
        <v>45</v>
      </c>
      <c r="E144" t="s">
        <v>45</v>
      </c>
      <c r="F144" t="s">
        <v>45</v>
      </c>
    </row>
    <row r="145" spans="1:7" x14ac:dyDescent="0.2">
      <c r="A145" t="s">
        <v>45</v>
      </c>
      <c r="B145" t="s">
        <v>27</v>
      </c>
      <c r="C145">
        <v>1.9</v>
      </c>
      <c r="D145" t="s">
        <v>45</v>
      </c>
      <c r="E145" t="s">
        <v>45</v>
      </c>
      <c r="F145" t="s">
        <v>27</v>
      </c>
      <c r="G145">
        <v>3.63</v>
      </c>
    </row>
    <row r="146" spans="1:7" x14ac:dyDescent="0.2">
      <c r="A146" t="s">
        <v>45</v>
      </c>
      <c r="B146" t="s">
        <v>28</v>
      </c>
      <c r="C146">
        <v>0.77</v>
      </c>
      <c r="D146" t="s">
        <v>45</v>
      </c>
      <c r="E146" t="s">
        <v>45</v>
      </c>
      <c r="F146" t="s">
        <v>28</v>
      </c>
      <c r="G146">
        <v>0.43</v>
      </c>
    </row>
    <row r="147" spans="1:7" x14ac:dyDescent="0.2">
      <c r="A147" t="s">
        <v>45</v>
      </c>
      <c r="B147" t="s">
        <v>29</v>
      </c>
      <c r="C147">
        <v>0.8</v>
      </c>
      <c r="D147" t="s">
        <v>45</v>
      </c>
      <c r="E147" t="s">
        <v>45</v>
      </c>
      <c r="F147" t="s">
        <v>29</v>
      </c>
      <c r="G147">
        <v>0.37</v>
      </c>
    </row>
    <row r="148" spans="1:7" x14ac:dyDescent="0.2">
      <c r="A148">
        <v>2003</v>
      </c>
      <c r="B148" t="s">
        <v>30</v>
      </c>
      <c r="C148">
        <v>0</v>
      </c>
      <c r="D148" t="s">
        <v>45</v>
      </c>
      <c r="E148">
        <v>1986</v>
      </c>
      <c r="F148" t="s">
        <v>30</v>
      </c>
      <c r="G148">
        <v>0</v>
      </c>
    </row>
    <row r="149" spans="1:7" x14ac:dyDescent="0.2">
      <c r="A149" t="s">
        <v>45</v>
      </c>
      <c r="B149" t="s">
        <v>31</v>
      </c>
      <c r="C149">
        <v>0.90500000000000003</v>
      </c>
      <c r="D149" t="s">
        <v>45</v>
      </c>
      <c r="E149" t="s">
        <v>45</v>
      </c>
      <c r="F149" t="s">
        <v>31</v>
      </c>
      <c r="G149">
        <v>1.89</v>
      </c>
    </row>
    <row r="150" spans="1:7" x14ac:dyDescent="0.2">
      <c r="A150" t="s">
        <v>45</v>
      </c>
      <c r="B150" t="s">
        <v>32</v>
      </c>
      <c r="C150">
        <v>0.78</v>
      </c>
      <c r="D150" t="s">
        <v>45</v>
      </c>
      <c r="E150" t="s">
        <v>45</v>
      </c>
      <c r="F150" t="s">
        <v>32</v>
      </c>
      <c r="G150">
        <v>0.65</v>
      </c>
    </row>
    <row r="151" spans="1:7" x14ac:dyDescent="0.2">
      <c r="A151" t="s">
        <v>45</v>
      </c>
      <c r="B151" t="s">
        <v>33</v>
      </c>
      <c r="C151">
        <v>0.18</v>
      </c>
      <c r="D151" t="s">
        <v>45</v>
      </c>
      <c r="E151" t="s">
        <v>45</v>
      </c>
      <c r="F151" t="s">
        <v>33</v>
      </c>
      <c r="G151">
        <v>1.51</v>
      </c>
    </row>
    <row r="152" spans="1:7" x14ac:dyDescent="0.2">
      <c r="A152" t="s">
        <v>45</v>
      </c>
      <c r="B152" t="s">
        <v>34</v>
      </c>
      <c r="C152">
        <v>1.7</v>
      </c>
      <c r="D152" t="s">
        <v>45</v>
      </c>
      <c r="E152" t="s">
        <v>45</v>
      </c>
      <c r="F152" t="s">
        <v>34</v>
      </c>
      <c r="G152">
        <v>1.44</v>
      </c>
    </row>
    <row r="153" spans="1:7" x14ac:dyDescent="0.2">
      <c r="A153" t="s">
        <v>45</v>
      </c>
      <c r="B153" t="s">
        <v>35</v>
      </c>
      <c r="C153">
        <v>0.27</v>
      </c>
      <c r="D153" t="s">
        <v>45</v>
      </c>
      <c r="E153" t="s">
        <v>45</v>
      </c>
      <c r="F153" t="s">
        <v>35</v>
      </c>
      <c r="G153">
        <v>3.83</v>
      </c>
    </row>
    <row r="154" spans="1:7" x14ac:dyDescent="0.2">
      <c r="A154" t="s">
        <v>45</v>
      </c>
      <c r="B154" t="s">
        <v>36</v>
      </c>
      <c r="C154">
        <v>0.26</v>
      </c>
      <c r="D154" t="s">
        <v>45</v>
      </c>
      <c r="E154" t="s">
        <v>45</v>
      </c>
      <c r="F154" t="s">
        <v>36</v>
      </c>
      <c r="G154">
        <v>3.22</v>
      </c>
    </row>
    <row r="155" spans="1:7" x14ac:dyDescent="0.2">
      <c r="A155" t="s">
        <v>45</v>
      </c>
      <c r="B155" t="s">
        <v>37</v>
      </c>
      <c r="C155">
        <v>2.2000000000000002</v>
      </c>
      <c r="D155" t="s">
        <v>45</v>
      </c>
      <c r="E155" t="s">
        <v>45</v>
      </c>
      <c r="F155" t="s">
        <v>37</v>
      </c>
      <c r="G155">
        <v>2.19</v>
      </c>
    </row>
    <row r="156" spans="1:7" x14ac:dyDescent="0.2">
      <c r="A156" t="s">
        <v>45</v>
      </c>
      <c r="B156" t="s">
        <v>38</v>
      </c>
      <c r="C156">
        <v>0.41</v>
      </c>
      <c r="D156" t="s">
        <v>45</v>
      </c>
      <c r="E156" t="s">
        <v>45</v>
      </c>
      <c r="F156" t="s">
        <v>38</v>
      </c>
      <c r="G156">
        <v>3.1</v>
      </c>
    </row>
    <row r="157" spans="1:7" x14ac:dyDescent="0.2">
      <c r="A157" t="s">
        <v>45</v>
      </c>
      <c r="B157" t="s">
        <v>45</v>
      </c>
      <c r="C157" t="s">
        <v>45</v>
      </c>
      <c r="D157" t="s">
        <v>45</v>
      </c>
      <c r="E157" t="s">
        <v>45</v>
      </c>
      <c r="F157" t="s">
        <v>45</v>
      </c>
    </row>
    <row r="158" spans="1:7" x14ac:dyDescent="0.2">
      <c r="A158" t="s">
        <v>45</v>
      </c>
      <c r="B158" t="s">
        <v>27</v>
      </c>
      <c r="C158">
        <v>1.05</v>
      </c>
      <c r="D158" t="s">
        <v>45</v>
      </c>
      <c r="E158" t="s">
        <v>45</v>
      </c>
      <c r="F158" t="s">
        <v>27</v>
      </c>
      <c r="G158">
        <v>2.71</v>
      </c>
    </row>
    <row r="159" spans="1:7" x14ac:dyDescent="0.2">
      <c r="A159" t="s">
        <v>45</v>
      </c>
      <c r="B159" t="s">
        <v>28</v>
      </c>
      <c r="C159">
        <v>0.79</v>
      </c>
      <c r="D159" t="s">
        <v>45</v>
      </c>
      <c r="E159" t="s">
        <v>45</v>
      </c>
      <c r="F159" t="s">
        <v>28</v>
      </c>
      <c r="G159">
        <v>3.21</v>
      </c>
    </row>
    <row r="160" spans="1:7" x14ac:dyDescent="0.2">
      <c r="A160" t="s">
        <v>45</v>
      </c>
      <c r="B160" t="s">
        <v>29</v>
      </c>
      <c r="C160">
        <v>0.22</v>
      </c>
      <c r="D160" t="s">
        <v>45</v>
      </c>
      <c r="E160" t="s">
        <v>45</v>
      </c>
      <c r="F160" t="s">
        <v>29</v>
      </c>
      <c r="G160">
        <v>1.1100000000000001</v>
      </c>
    </row>
    <row r="161" spans="1:7" x14ac:dyDescent="0.2">
      <c r="A161">
        <v>2004</v>
      </c>
      <c r="B161" t="s">
        <v>30</v>
      </c>
      <c r="C161">
        <v>0.84</v>
      </c>
      <c r="D161" t="s">
        <v>45</v>
      </c>
      <c r="E161">
        <v>1987</v>
      </c>
      <c r="F161" t="s">
        <v>30</v>
      </c>
      <c r="G161">
        <v>1.58</v>
      </c>
    </row>
    <row r="162" spans="1:7" x14ac:dyDescent="0.2">
      <c r="A162" t="s">
        <v>45</v>
      </c>
      <c r="B162" t="s">
        <v>31</v>
      </c>
      <c r="C162">
        <v>1.41</v>
      </c>
      <c r="D162" t="s">
        <v>45</v>
      </c>
      <c r="E162" t="s">
        <v>45</v>
      </c>
      <c r="F162" t="s">
        <v>31</v>
      </c>
      <c r="G162">
        <v>1.72</v>
      </c>
    </row>
    <row r="163" spans="1:7" x14ac:dyDescent="0.2">
      <c r="A163" t="s">
        <v>45</v>
      </c>
      <c r="B163" t="s">
        <v>32</v>
      </c>
      <c r="C163">
        <v>0</v>
      </c>
      <c r="D163" t="s">
        <v>45</v>
      </c>
      <c r="E163" t="s">
        <v>45</v>
      </c>
      <c r="F163" t="s">
        <v>32</v>
      </c>
      <c r="G163">
        <v>0.41</v>
      </c>
    </row>
    <row r="164" spans="1:7" x14ac:dyDescent="0.2">
      <c r="A164" t="s">
        <v>45</v>
      </c>
      <c r="B164" t="s">
        <v>33</v>
      </c>
      <c r="C164">
        <v>0</v>
      </c>
      <c r="D164" t="s">
        <v>45</v>
      </c>
      <c r="E164" t="s">
        <v>45</v>
      </c>
      <c r="F164" t="s">
        <v>33</v>
      </c>
      <c r="G164">
        <v>0.54</v>
      </c>
    </row>
    <row r="165" spans="1:7" x14ac:dyDescent="0.2">
      <c r="A165" t="s">
        <v>45</v>
      </c>
      <c r="B165" t="s">
        <v>34</v>
      </c>
      <c r="C165">
        <v>0</v>
      </c>
      <c r="D165" t="s">
        <v>45</v>
      </c>
      <c r="E165" t="s">
        <v>45</v>
      </c>
      <c r="F165" t="s">
        <v>34</v>
      </c>
      <c r="G165">
        <v>1.9</v>
      </c>
    </row>
    <row r="166" spans="1:7" x14ac:dyDescent="0.2">
      <c r="A166" t="s">
        <v>45</v>
      </c>
      <c r="B166" t="s">
        <v>35</v>
      </c>
      <c r="C166">
        <v>0</v>
      </c>
      <c r="D166" t="s">
        <v>45</v>
      </c>
      <c r="E166" t="s">
        <v>45</v>
      </c>
      <c r="F166" t="s">
        <v>35</v>
      </c>
      <c r="G166">
        <v>1.02</v>
      </c>
    </row>
    <row r="167" spans="1:7" x14ac:dyDescent="0.2">
      <c r="A167" t="s">
        <v>45</v>
      </c>
      <c r="B167" t="s">
        <v>36</v>
      </c>
      <c r="C167">
        <v>0</v>
      </c>
      <c r="D167" t="s">
        <v>45</v>
      </c>
      <c r="E167" t="s">
        <v>45</v>
      </c>
      <c r="F167" t="s">
        <v>36</v>
      </c>
      <c r="G167">
        <v>1.21</v>
      </c>
    </row>
    <row r="168" spans="1:7" x14ac:dyDescent="0.2">
      <c r="A168" t="s">
        <v>45</v>
      </c>
      <c r="B168" t="s">
        <v>37</v>
      </c>
      <c r="C168">
        <v>0</v>
      </c>
      <c r="D168" t="s">
        <v>45</v>
      </c>
      <c r="E168" t="s">
        <v>45</v>
      </c>
      <c r="F168" t="s">
        <v>37</v>
      </c>
      <c r="G168">
        <v>3.56</v>
      </c>
    </row>
    <row r="169" spans="1:7" x14ac:dyDescent="0.2">
      <c r="A169" t="s">
        <v>45</v>
      </c>
      <c r="B169" t="s">
        <v>38</v>
      </c>
      <c r="C169">
        <v>0</v>
      </c>
      <c r="D169" t="s">
        <v>45</v>
      </c>
      <c r="E169" t="s">
        <v>45</v>
      </c>
      <c r="F169" t="s">
        <v>38</v>
      </c>
      <c r="G169">
        <v>0.98</v>
      </c>
    </row>
    <row r="170" spans="1:7" x14ac:dyDescent="0.2">
      <c r="A170" t="s">
        <v>45</v>
      </c>
      <c r="B170" t="s">
        <v>45</v>
      </c>
      <c r="C170" t="s">
        <v>45</v>
      </c>
      <c r="D170" t="s">
        <v>45</v>
      </c>
      <c r="E170" t="s">
        <v>45</v>
      </c>
      <c r="F170" t="s">
        <v>45</v>
      </c>
    </row>
    <row r="171" spans="1:7" x14ac:dyDescent="0.2">
      <c r="A171" t="s">
        <v>45</v>
      </c>
      <c r="B171" t="s">
        <v>45</v>
      </c>
      <c r="C171" t="s">
        <v>45</v>
      </c>
      <c r="D171" t="s">
        <v>45</v>
      </c>
      <c r="E171" t="s">
        <v>45</v>
      </c>
      <c r="F171" t="s">
        <v>27</v>
      </c>
      <c r="G171">
        <v>0.48</v>
      </c>
    </row>
    <row r="172" spans="1:7" x14ac:dyDescent="0.2">
      <c r="A172" t="s">
        <v>45</v>
      </c>
      <c r="B172" t="s">
        <v>45</v>
      </c>
      <c r="C172" t="s">
        <v>45</v>
      </c>
      <c r="D172" t="s">
        <v>45</v>
      </c>
      <c r="E172" t="s">
        <v>45</v>
      </c>
      <c r="F172" t="s">
        <v>28</v>
      </c>
      <c r="G172">
        <v>1.53</v>
      </c>
    </row>
    <row r="173" spans="1:7" x14ac:dyDescent="0.2">
      <c r="A173" t="s">
        <v>45</v>
      </c>
      <c r="B173" t="s">
        <v>45</v>
      </c>
      <c r="C173" t="s">
        <v>45</v>
      </c>
      <c r="D173" t="s">
        <v>45</v>
      </c>
      <c r="E173" t="s">
        <v>45</v>
      </c>
      <c r="F173" t="s">
        <v>29</v>
      </c>
      <c r="G173">
        <v>1.78</v>
      </c>
    </row>
    <row r="174" spans="1:7" x14ac:dyDescent="0.2">
      <c r="A174" t="s">
        <v>45</v>
      </c>
      <c r="B174" t="s">
        <v>45</v>
      </c>
      <c r="C174" t="s">
        <v>45</v>
      </c>
      <c r="D174" t="s">
        <v>45</v>
      </c>
      <c r="E174">
        <v>1988</v>
      </c>
      <c r="F174" t="s">
        <v>30</v>
      </c>
      <c r="G174">
        <v>1.22</v>
      </c>
    </row>
    <row r="175" spans="1:7" x14ac:dyDescent="0.2">
      <c r="A175" t="s">
        <v>45</v>
      </c>
      <c r="B175" t="s">
        <v>45</v>
      </c>
      <c r="C175" t="s">
        <v>45</v>
      </c>
      <c r="D175" t="s">
        <v>45</v>
      </c>
      <c r="E175" t="s">
        <v>45</v>
      </c>
      <c r="F175" t="s">
        <v>31</v>
      </c>
      <c r="G175">
        <v>0.3</v>
      </c>
    </row>
    <row r="176" spans="1:7" x14ac:dyDescent="0.2">
      <c r="A176" t="s">
        <v>45</v>
      </c>
      <c r="B176" t="s">
        <v>45</v>
      </c>
      <c r="C176" t="s">
        <v>45</v>
      </c>
      <c r="D176" t="s">
        <v>45</v>
      </c>
      <c r="E176" t="s">
        <v>45</v>
      </c>
      <c r="F176" t="s">
        <v>32</v>
      </c>
      <c r="G176">
        <v>0.95</v>
      </c>
    </row>
    <row r="177" spans="1:7" x14ac:dyDescent="0.2">
      <c r="A177" t="s">
        <v>45</v>
      </c>
      <c r="B177" t="s">
        <v>45</v>
      </c>
      <c r="C177" t="s">
        <v>45</v>
      </c>
      <c r="D177" t="s">
        <v>45</v>
      </c>
      <c r="E177" t="s">
        <v>45</v>
      </c>
      <c r="F177" t="s">
        <v>33</v>
      </c>
      <c r="G177">
        <v>1.76</v>
      </c>
    </row>
    <row r="178" spans="1:7" x14ac:dyDescent="0.2">
      <c r="A178" t="s">
        <v>45</v>
      </c>
      <c r="B178" t="s">
        <v>45</v>
      </c>
      <c r="C178" t="s">
        <v>45</v>
      </c>
      <c r="D178" t="s">
        <v>45</v>
      </c>
      <c r="E178" t="s">
        <v>45</v>
      </c>
      <c r="F178" t="s">
        <v>34</v>
      </c>
      <c r="G178">
        <v>1.47</v>
      </c>
    </row>
    <row r="179" spans="1:7" x14ac:dyDescent="0.2">
      <c r="A179" t="s">
        <v>45</v>
      </c>
      <c r="B179" t="s">
        <v>45</v>
      </c>
      <c r="C179" t="s">
        <v>45</v>
      </c>
      <c r="D179" t="s">
        <v>45</v>
      </c>
      <c r="E179" t="s">
        <v>45</v>
      </c>
      <c r="F179" t="s">
        <v>35</v>
      </c>
      <c r="G179">
        <v>1.84</v>
      </c>
    </row>
    <row r="180" spans="1:7" x14ac:dyDescent="0.2">
      <c r="A180" t="s">
        <v>45</v>
      </c>
      <c r="B180" t="s">
        <v>45</v>
      </c>
      <c r="C180" t="s">
        <v>45</v>
      </c>
      <c r="D180" t="s">
        <v>45</v>
      </c>
      <c r="E180" t="s">
        <v>45</v>
      </c>
      <c r="F180" t="s">
        <v>36</v>
      </c>
      <c r="G180">
        <v>3.2</v>
      </c>
    </row>
    <row r="181" spans="1:7" x14ac:dyDescent="0.2">
      <c r="A181" t="s">
        <v>45</v>
      </c>
      <c r="B181" t="s">
        <v>45</v>
      </c>
      <c r="C181" t="s">
        <v>45</v>
      </c>
      <c r="D181" t="s">
        <v>45</v>
      </c>
      <c r="E181" t="s">
        <v>45</v>
      </c>
      <c r="F181" t="s">
        <v>37</v>
      </c>
      <c r="G181">
        <v>4.2</v>
      </c>
    </row>
    <row r="182" spans="1:7" x14ac:dyDescent="0.2">
      <c r="A182" t="s">
        <v>45</v>
      </c>
      <c r="B182" t="s">
        <v>45</v>
      </c>
      <c r="C182" t="s">
        <v>45</v>
      </c>
      <c r="D182" t="s">
        <v>45</v>
      </c>
      <c r="E182" t="s">
        <v>45</v>
      </c>
      <c r="F182" t="s">
        <v>38</v>
      </c>
      <c r="G182">
        <v>4.7</v>
      </c>
    </row>
    <row r="183" spans="1:7" x14ac:dyDescent="0.2">
      <c r="A183" t="s">
        <v>45</v>
      </c>
      <c r="B183" t="s">
        <v>45</v>
      </c>
      <c r="C183" t="s">
        <v>45</v>
      </c>
      <c r="D183" t="s">
        <v>45</v>
      </c>
      <c r="E183" t="s">
        <v>45</v>
      </c>
      <c r="F183" t="s">
        <v>45</v>
      </c>
    </row>
    <row r="184" spans="1:7" x14ac:dyDescent="0.2">
      <c r="A184" t="s">
        <v>45</v>
      </c>
      <c r="B184" t="s">
        <v>45</v>
      </c>
      <c r="C184" t="s">
        <v>45</v>
      </c>
      <c r="D184" t="s">
        <v>45</v>
      </c>
      <c r="E184" t="s">
        <v>45</v>
      </c>
      <c r="F184" t="s">
        <v>27</v>
      </c>
      <c r="G184">
        <v>1.53</v>
      </c>
    </row>
    <row r="185" spans="1:7" x14ac:dyDescent="0.2">
      <c r="A185" t="s">
        <v>45</v>
      </c>
      <c r="B185" t="s">
        <v>45</v>
      </c>
      <c r="C185" t="s">
        <v>45</v>
      </c>
      <c r="D185" t="s">
        <v>45</v>
      </c>
      <c r="E185" t="s">
        <v>45</v>
      </c>
      <c r="F185" t="s">
        <v>28</v>
      </c>
      <c r="G185">
        <v>0.42</v>
      </c>
    </row>
    <row r="186" spans="1:7" x14ac:dyDescent="0.2">
      <c r="A186" t="s">
        <v>45</v>
      </c>
      <c r="B186" t="s">
        <v>45</v>
      </c>
      <c r="C186" t="s">
        <v>45</v>
      </c>
      <c r="D186" t="s">
        <v>45</v>
      </c>
      <c r="E186" t="s">
        <v>45</v>
      </c>
      <c r="F186" t="s">
        <v>29</v>
      </c>
      <c r="G186">
        <v>0.32</v>
      </c>
    </row>
    <row r="187" spans="1:7" x14ac:dyDescent="0.2">
      <c r="A187" t="s">
        <v>45</v>
      </c>
      <c r="B187" t="s">
        <v>45</v>
      </c>
      <c r="C187" t="s">
        <v>45</v>
      </c>
      <c r="D187" t="s">
        <v>45</v>
      </c>
      <c r="E187">
        <v>1989</v>
      </c>
      <c r="F187" t="s">
        <v>30</v>
      </c>
      <c r="G187">
        <v>1.66</v>
      </c>
    </row>
    <row r="188" spans="1:7" x14ac:dyDescent="0.2">
      <c r="A188" t="s">
        <v>45</v>
      </c>
      <c r="B188" t="s">
        <v>45</v>
      </c>
      <c r="C188" t="s">
        <v>45</v>
      </c>
      <c r="D188" t="s">
        <v>45</v>
      </c>
      <c r="E188" t="s">
        <v>45</v>
      </c>
      <c r="F188" t="s">
        <v>31</v>
      </c>
      <c r="G188">
        <v>1.28</v>
      </c>
    </row>
    <row r="189" spans="1:7" x14ac:dyDescent="0.2">
      <c r="A189" t="s">
        <v>45</v>
      </c>
      <c r="B189" t="s">
        <v>45</v>
      </c>
      <c r="C189" t="s">
        <v>45</v>
      </c>
      <c r="D189" t="s">
        <v>45</v>
      </c>
      <c r="E189" t="s">
        <v>45</v>
      </c>
      <c r="F189" t="s">
        <v>32</v>
      </c>
      <c r="G189">
        <v>0.96</v>
      </c>
    </row>
    <row r="190" spans="1:7" x14ac:dyDescent="0.2">
      <c r="A190" t="s">
        <v>45</v>
      </c>
      <c r="B190" t="s">
        <v>45</v>
      </c>
      <c r="C190" t="s">
        <v>45</v>
      </c>
      <c r="D190" t="s">
        <v>45</v>
      </c>
      <c r="E190" t="s">
        <v>45</v>
      </c>
      <c r="F190" t="s">
        <v>33</v>
      </c>
      <c r="G190">
        <v>0.14000000000000001</v>
      </c>
    </row>
    <row r="191" spans="1:7" x14ac:dyDescent="0.2">
      <c r="A191" t="s">
        <v>45</v>
      </c>
      <c r="B191" t="s">
        <v>45</v>
      </c>
      <c r="C191" t="s">
        <v>45</v>
      </c>
      <c r="D191" t="s">
        <v>45</v>
      </c>
      <c r="E191" t="s">
        <v>45</v>
      </c>
      <c r="F191" t="s">
        <v>34</v>
      </c>
      <c r="G191">
        <v>0.72</v>
      </c>
    </row>
    <row r="192" spans="1:7" x14ac:dyDescent="0.2">
      <c r="A192" t="s">
        <v>45</v>
      </c>
      <c r="B192" t="s">
        <v>45</v>
      </c>
      <c r="C192" t="s">
        <v>45</v>
      </c>
      <c r="D192" t="s">
        <v>45</v>
      </c>
      <c r="E192" t="s">
        <v>45</v>
      </c>
      <c r="F192" t="s">
        <v>35</v>
      </c>
      <c r="G192">
        <v>0.12</v>
      </c>
    </row>
    <row r="193" spans="1:7" x14ac:dyDescent="0.2">
      <c r="A193" t="s">
        <v>45</v>
      </c>
      <c r="B193" t="s">
        <v>45</v>
      </c>
      <c r="C193" t="s">
        <v>45</v>
      </c>
      <c r="D193" t="s">
        <v>45</v>
      </c>
      <c r="E193" t="s">
        <v>45</v>
      </c>
      <c r="F193" t="s">
        <v>36</v>
      </c>
      <c r="G193">
        <v>2.97</v>
      </c>
    </row>
    <row r="194" spans="1:7" x14ac:dyDescent="0.2">
      <c r="A194" t="s">
        <v>45</v>
      </c>
      <c r="B194" t="s">
        <v>45</v>
      </c>
      <c r="C194" t="s">
        <v>45</v>
      </c>
      <c r="D194" t="s">
        <v>45</v>
      </c>
      <c r="E194" t="s">
        <v>45</v>
      </c>
      <c r="F194" t="s">
        <v>37</v>
      </c>
      <c r="G194">
        <v>2.81</v>
      </c>
    </row>
    <row r="195" spans="1:7" x14ac:dyDescent="0.2">
      <c r="A195" t="s">
        <v>45</v>
      </c>
      <c r="B195" t="s">
        <v>45</v>
      </c>
      <c r="C195" t="s">
        <v>45</v>
      </c>
      <c r="D195" t="s">
        <v>45</v>
      </c>
      <c r="E195" t="s">
        <v>45</v>
      </c>
      <c r="F195" t="s">
        <v>38</v>
      </c>
      <c r="G195">
        <v>2.35</v>
      </c>
    </row>
    <row r="196" spans="1:7" x14ac:dyDescent="0.2">
      <c r="A196" t="s">
        <v>45</v>
      </c>
      <c r="B196" t="s">
        <v>45</v>
      </c>
      <c r="C196" t="s">
        <v>45</v>
      </c>
      <c r="D196" t="s">
        <v>45</v>
      </c>
      <c r="E196" t="s">
        <v>45</v>
      </c>
      <c r="F196" t="s">
        <v>45</v>
      </c>
    </row>
    <row r="197" spans="1:7" x14ac:dyDescent="0.2">
      <c r="A197" t="s">
        <v>45</v>
      </c>
      <c r="B197" t="s">
        <v>45</v>
      </c>
      <c r="C197" t="s">
        <v>45</v>
      </c>
      <c r="D197" t="s">
        <v>45</v>
      </c>
      <c r="E197" t="s">
        <v>45</v>
      </c>
      <c r="F197" t="s">
        <v>27</v>
      </c>
      <c r="G197">
        <v>1.92</v>
      </c>
    </row>
    <row r="198" spans="1:7" x14ac:dyDescent="0.2">
      <c r="A198" t="s">
        <v>45</v>
      </c>
      <c r="B198" t="s">
        <v>45</v>
      </c>
      <c r="C198" t="s">
        <v>45</v>
      </c>
      <c r="D198" t="s">
        <v>45</v>
      </c>
      <c r="E198" t="s">
        <v>45</v>
      </c>
      <c r="F198" t="s">
        <v>28</v>
      </c>
      <c r="G198">
        <v>0</v>
      </c>
    </row>
    <row r="199" spans="1:7" x14ac:dyDescent="0.2">
      <c r="A199" t="s">
        <v>45</v>
      </c>
      <c r="B199" t="s">
        <v>45</v>
      </c>
      <c r="C199" t="s">
        <v>45</v>
      </c>
      <c r="D199" t="s">
        <v>45</v>
      </c>
      <c r="E199" t="s">
        <v>45</v>
      </c>
      <c r="F199" t="s">
        <v>29</v>
      </c>
      <c r="G199">
        <v>0.6</v>
      </c>
    </row>
    <row r="200" spans="1:7" x14ac:dyDescent="0.2">
      <c r="A200" t="s">
        <v>45</v>
      </c>
      <c r="B200" t="s">
        <v>45</v>
      </c>
      <c r="C200" t="s">
        <v>45</v>
      </c>
      <c r="D200" t="s">
        <v>45</v>
      </c>
      <c r="E200">
        <v>1990</v>
      </c>
      <c r="F200" t="s">
        <v>30</v>
      </c>
      <c r="G200">
        <v>1.0900000000000001</v>
      </c>
    </row>
    <row r="201" spans="1:7" x14ac:dyDescent="0.2">
      <c r="A201" t="s">
        <v>45</v>
      </c>
      <c r="B201" t="s">
        <v>45</v>
      </c>
      <c r="C201" t="s">
        <v>45</v>
      </c>
      <c r="D201" t="s">
        <v>45</v>
      </c>
      <c r="E201" t="s">
        <v>45</v>
      </c>
      <c r="F201" t="s">
        <v>31</v>
      </c>
      <c r="G201">
        <v>0.56999999999999995</v>
      </c>
    </row>
    <row r="202" spans="1:7" x14ac:dyDescent="0.2">
      <c r="A202" t="s">
        <v>45</v>
      </c>
      <c r="B202" t="s">
        <v>45</v>
      </c>
      <c r="C202" t="s">
        <v>45</v>
      </c>
      <c r="D202" t="s">
        <v>45</v>
      </c>
      <c r="E202" t="s">
        <v>45</v>
      </c>
      <c r="F202" t="s">
        <v>32</v>
      </c>
      <c r="G202">
        <v>0.73</v>
      </c>
    </row>
    <row r="203" spans="1:7" x14ac:dyDescent="0.2">
      <c r="A203" t="s">
        <v>45</v>
      </c>
      <c r="B203" t="s">
        <v>45</v>
      </c>
      <c r="C203" t="s">
        <v>45</v>
      </c>
      <c r="D203" t="s">
        <v>45</v>
      </c>
      <c r="E203" t="s">
        <v>45</v>
      </c>
      <c r="F203" t="s">
        <v>33</v>
      </c>
      <c r="G203">
        <v>1.49</v>
      </c>
    </row>
    <row r="204" spans="1:7" x14ac:dyDescent="0.2">
      <c r="A204" t="s">
        <v>45</v>
      </c>
      <c r="B204" t="s">
        <v>45</v>
      </c>
      <c r="C204" t="s">
        <v>45</v>
      </c>
      <c r="D204" t="s">
        <v>45</v>
      </c>
      <c r="E204" t="s">
        <v>45</v>
      </c>
      <c r="F204" t="s">
        <v>34</v>
      </c>
      <c r="G204">
        <v>1.23</v>
      </c>
    </row>
    <row r="205" spans="1:7" x14ac:dyDescent="0.2">
      <c r="A205" t="s">
        <v>45</v>
      </c>
      <c r="B205" t="s">
        <v>45</v>
      </c>
      <c r="C205" t="s">
        <v>45</v>
      </c>
      <c r="D205" t="s">
        <v>45</v>
      </c>
      <c r="E205" t="s">
        <v>45</v>
      </c>
      <c r="F205" t="s">
        <v>35</v>
      </c>
      <c r="G205">
        <v>0.71</v>
      </c>
    </row>
    <row r="206" spans="1:7" x14ac:dyDescent="0.2">
      <c r="A206" t="s">
        <v>45</v>
      </c>
      <c r="B206" t="s">
        <v>45</v>
      </c>
      <c r="C206" t="s">
        <v>45</v>
      </c>
      <c r="D206" t="s">
        <v>45</v>
      </c>
      <c r="E206" t="s">
        <v>45</v>
      </c>
      <c r="F206" t="s">
        <v>36</v>
      </c>
      <c r="G206">
        <v>3.93</v>
      </c>
    </row>
    <row r="207" spans="1:7" x14ac:dyDescent="0.2">
      <c r="A207" t="s">
        <v>45</v>
      </c>
      <c r="B207" t="s">
        <v>45</v>
      </c>
      <c r="C207" t="s">
        <v>45</v>
      </c>
      <c r="D207" t="s">
        <v>45</v>
      </c>
      <c r="E207" t="s">
        <v>45</v>
      </c>
      <c r="F207" t="s">
        <v>37</v>
      </c>
      <c r="G207">
        <v>1.1599999999999999</v>
      </c>
    </row>
    <row r="208" spans="1:7" x14ac:dyDescent="0.2">
      <c r="A208" t="s">
        <v>45</v>
      </c>
      <c r="B208" t="s">
        <v>45</v>
      </c>
      <c r="C208" t="s">
        <v>45</v>
      </c>
      <c r="D208" t="s">
        <v>45</v>
      </c>
      <c r="E208" t="s">
        <v>45</v>
      </c>
      <c r="F208" t="s">
        <v>38</v>
      </c>
      <c r="G208">
        <v>1.93</v>
      </c>
    </row>
    <row r="209" spans="1:7" x14ac:dyDescent="0.2">
      <c r="A209" t="s">
        <v>45</v>
      </c>
      <c r="B209" t="s">
        <v>45</v>
      </c>
      <c r="C209" t="s">
        <v>45</v>
      </c>
      <c r="D209" t="s">
        <v>45</v>
      </c>
      <c r="E209" t="s">
        <v>45</v>
      </c>
      <c r="F209" t="s">
        <v>45</v>
      </c>
    </row>
    <row r="210" spans="1:7" x14ac:dyDescent="0.2">
      <c r="A210" t="s">
        <v>45</v>
      </c>
      <c r="B210" t="s">
        <v>45</v>
      </c>
      <c r="C210" t="s">
        <v>45</v>
      </c>
      <c r="D210" t="s">
        <v>45</v>
      </c>
      <c r="E210" t="s">
        <v>45</v>
      </c>
      <c r="F210" t="s">
        <v>27</v>
      </c>
      <c r="G210">
        <v>0.31</v>
      </c>
    </row>
    <row r="211" spans="1:7" x14ac:dyDescent="0.2">
      <c r="A211" t="s">
        <v>45</v>
      </c>
      <c r="B211" t="s">
        <v>45</v>
      </c>
      <c r="C211" t="s">
        <v>45</v>
      </c>
      <c r="D211" t="s">
        <v>45</v>
      </c>
      <c r="E211" t="s">
        <v>45</v>
      </c>
      <c r="F211" t="s">
        <v>28</v>
      </c>
      <c r="G211">
        <v>1.38</v>
      </c>
    </row>
    <row r="212" spans="1:7" x14ac:dyDescent="0.2">
      <c r="A212" t="s">
        <v>45</v>
      </c>
      <c r="B212" t="s">
        <v>45</v>
      </c>
      <c r="C212" t="s">
        <v>45</v>
      </c>
      <c r="D212" t="s">
        <v>45</v>
      </c>
      <c r="E212" t="s">
        <v>45</v>
      </c>
      <c r="F212" t="s">
        <v>29</v>
      </c>
      <c r="G212">
        <v>2.33</v>
      </c>
    </row>
    <row r="213" spans="1:7" x14ac:dyDescent="0.2">
      <c r="A213" t="s">
        <v>45</v>
      </c>
      <c r="B213" t="s">
        <v>45</v>
      </c>
      <c r="C213" t="s">
        <v>45</v>
      </c>
      <c r="D213" t="s">
        <v>45</v>
      </c>
      <c r="E213">
        <v>1991</v>
      </c>
      <c r="F213" t="s">
        <v>30</v>
      </c>
      <c r="G213">
        <v>0.39</v>
      </c>
    </row>
    <row r="214" spans="1:7" x14ac:dyDescent="0.2">
      <c r="A214" t="s">
        <v>45</v>
      </c>
      <c r="B214" t="s">
        <v>45</v>
      </c>
      <c r="C214" t="s">
        <v>45</v>
      </c>
      <c r="D214" t="s">
        <v>45</v>
      </c>
      <c r="E214" t="s">
        <v>45</v>
      </c>
      <c r="F214" t="s">
        <v>31</v>
      </c>
      <c r="G214">
        <v>0.34</v>
      </c>
    </row>
    <row r="215" spans="1:7" x14ac:dyDescent="0.2">
      <c r="A215" t="s">
        <v>45</v>
      </c>
      <c r="B215" t="s">
        <v>45</v>
      </c>
      <c r="C215" t="s">
        <v>45</v>
      </c>
      <c r="D215" t="s">
        <v>45</v>
      </c>
      <c r="E215" t="s">
        <v>45</v>
      </c>
      <c r="F215" t="s">
        <v>32</v>
      </c>
      <c r="G215" s="23">
        <v>1.82</v>
      </c>
    </row>
    <row r="216" spans="1:7" x14ac:dyDescent="0.2">
      <c r="A216" t="s">
        <v>45</v>
      </c>
      <c r="B216" t="s">
        <v>45</v>
      </c>
      <c r="C216" t="s">
        <v>45</v>
      </c>
      <c r="D216" t="s">
        <v>45</v>
      </c>
      <c r="E216" t="s">
        <v>45</v>
      </c>
      <c r="F216" t="s">
        <v>33</v>
      </c>
      <c r="G216">
        <v>0</v>
      </c>
    </row>
    <row r="217" spans="1:7" x14ac:dyDescent="0.2">
      <c r="A217" t="s">
        <v>45</v>
      </c>
      <c r="B217" t="s">
        <v>45</v>
      </c>
      <c r="C217" t="s">
        <v>45</v>
      </c>
      <c r="D217" t="s">
        <v>45</v>
      </c>
      <c r="E217" t="s">
        <v>45</v>
      </c>
      <c r="F217" t="s">
        <v>34</v>
      </c>
      <c r="G217">
        <v>2.0499999999999998</v>
      </c>
    </row>
    <row r="218" spans="1:7" x14ac:dyDescent="0.2">
      <c r="A218" t="s">
        <v>45</v>
      </c>
      <c r="B218" t="s">
        <v>45</v>
      </c>
      <c r="C218" t="s">
        <v>45</v>
      </c>
      <c r="D218" t="s">
        <v>45</v>
      </c>
      <c r="E218" t="s">
        <v>45</v>
      </c>
      <c r="F218" t="s">
        <v>35</v>
      </c>
      <c r="G218">
        <v>0.84</v>
      </c>
    </row>
    <row r="219" spans="1:7" x14ac:dyDescent="0.2">
      <c r="A219" t="s">
        <v>45</v>
      </c>
      <c r="B219" t="s">
        <v>45</v>
      </c>
      <c r="C219" t="s">
        <v>45</v>
      </c>
      <c r="D219" t="s">
        <v>45</v>
      </c>
      <c r="E219" t="s">
        <v>45</v>
      </c>
      <c r="F219" t="s">
        <v>36</v>
      </c>
      <c r="G219">
        <v>3.55</v>
      </c>
    </row>
    <row r="220" spans="1:7" x14ac:dyDescent="0.2">
      <c r="A220" t="s">
        <v>45</v>
      </c>
      <c r="B220" t="s">
        <v>45</v>
      </c>
      <c r="C220" t="s">
        <v>45</v>
      </c>
      <c r="D220" t="s">
        <v>45</v>
      </c>
      <c r="E220" t="s">
        <v>45</v>
      </c>
      <c r="F220" t="s">
        <v>37</v>
      </c>
      <c r="G220">
        <v>4.9800000000000004</v>
      </c>
    </row>
    <row r="221" spans="1:7" x14ac:dyDescent="0.2">
      <c r="A221" t="s">
        <v>45</v>
      </c>
      <c r="B221" t="s">
        <v>45</v>
      </c>
      <c r="C221" t="s">
        <v>45</v>
      </c>
      <c r="D221" t="s">
        <v>45</v>
      </c>
      <c r="E221" t="s">
        <v>45</v>
      </c>
      <c r="F221" t="s">
        <v>38</v>
      </c>
      <c r="G221">
        <v>2.79</v>
      </c>
    </row>
  </sheetData>
  <phoneticPr fontId="8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5844-ADAE-4D6B-8A29-A82B912F6158}">
  <dimension ref="A1:D88"/>
  <sheetViews>
    <sheetView workbookViewId="0">
      <selection activeCell="N22" sqref="N22"/>
    </sheetView>
  </sheetViews>
  <sheetFormatPr defaultRowHeight="12.75" x14ac:dyDescent="0.2"/>
  <sheetData>
    <row r="1" spans="1:4" x14ac:dyDescent="0.2">
      <c r="A1" t="s">
        <v>92</v>
      </c>
      <c r="B1" t="s">
        <v>93</v>
      </c>
      <c r="C1" t="s">
        <v>94</v>
      </c>
      <c r="D1" t="s">
        <v>95</v>
      </c>
    </row>
    <row r="2" spans="1:4" x14ac:dyDescent="0.2">
      <c r="A2">
        <v>1935</v>
      </c>
      <c r="B2">
        <v>14.829999999999998</v>
      </c>
      <c r="C2">
        <v>15.32</v>
      </c>
      <c r="D2">
        <v>15.06</v>
      </c>
    </row>
    <row r="3" spans="1:4" x14ac:dyDescent="0.2">
      <c r="A3">
        <v>1936</v>
      </c>
      <c r="B3">
        <v>14.48</v>
      </c>
      <c r="C3">
        <v>15.32</v>
      </c>
      <c r="D3">
        <v>15.06</v>
      </c>
    </row>
    <row r="4" spans="1:4" x14ac:dyDescent="0.2">
      <c r="A4">
        <v>1937</v>
      </c>
      <c r="B4">
        <v>14.780000000000001</v>
      </c>
      <c r="C4">
        <v>15.32</v>
      </c>
      <c r="D4">
        <v>15.06</v>
      </c>
    </row>
    <row r="5" spans="1:4" x14ac:dyDescent="0.2">
      <c r="A5">
        <v>1938</v>
      </c>
      <c r="B5">
        <v>12.2</v>
      </c>
      <c r="C5">
        <v>15.32</v>
      </c>
      <c r="D5">
        <v>15.06</v>
      </c>
    </row>
    <row r="6" spans="1:4" x14ac:dyDescent="0.2">
      <c r="A6">
        <v>1939</v>
      </c>
      <c r="B6">
        <v>18.03</v>
      </c>
      <c r="C6">
        <v>15.32</v>
      </c>
      <c r="D6">
        <v>15.06</v>
      </c>
    </row>
    <row r="7" spans="1:4" x14ac:dyDescent="0.2">
      <c r="A7">
        <v>1940</v>
      </c>
      <c r="B7">
        <v>20.450000000000003</v>
      </c>
      <c r="C7">
        <v>15.32</v>
      </c>
      <c r="D7">
        <v>15.06</v>
      </c>
    </row>
    <row r="8" spans="1:4" x14ac:dyDescent="0.2">
      <c r="A8">
        <v>1941</v>
      </c>
      <c r="B8">
        <v>25.96</v>
      </c>
      <c r="C8">
        <v>15.32</v>
      </c>
      <c r="D8">
        <v>15.06</v>
      </c>
    </row>
    <row r="9" spans="1:4" x14ac:dyDescent="0.2">
      <c r="A9">
        <v>1942</v>
      </c>
      <c r="B9">
        <v>13.925000000000001</v>
      </c>
      <c r="C9">
        <v>15.32</v>
      </c>
      <c r="D9">
        <v>15.06</v>
      </c>
    </row>
    <row r="10" spans="1:4" x14ac:dyDescent="0.2">
      <c r="A10">
        <v>1943</v>
      </c>
      <c r="B10">
        <v>14.060000000000002</v>
      </c>
      <c r="C10">
        <v>15.32</v>
      </c>
      <c r="D10">
        <v>15.06</v>
      </c>
    </row>
    <row r="11" spans="1:4" x14ac:dyDescent="0.2">
      <c r="A11">
        <v>1944</v>
      </c>
      <c r="B11">
        <v>18.310000000000002</v>
      </c>
      <c r="C11">
        <v>15.32</v>
      </c>
      <c r="D11">
        <v>15.06</v>
      </c>
    </row>
    <row r="12" spans="1:4" x14ac:dyDescent="0.2">
      <c r="A12">
        <v>1945</v>
      </c>
      <c r="B12">
        <v>11.585000000000001</v>
      </c>
      <c r="C12">
        <v>15.32</v>
      </c>
      <c r="D12">
        <v>15.06</v>
      </c>
    </row>
    <row r="13" spans="1:4" x14ac:dyDescent="0.2">
      <c r="A13">
        <v>1946</v>
      </c>
      <c r="B13">
        <v>10.800000000000002</v>
      </c>
      <c r="C13">
        <v>15.32</v>
      </c>
      <c r="D13">
        <v>15.06</v>
      </c>
    </row>
    <row r="14" spans="1:4" x14ac:dyDescent="0.2">
      <c r="A14">
        <v>1947</v>
      </c>
      <c r="B14">
        <v>13.040000000000001</v>
      </c>
      <c r="C14">
        <v>15.32</v>
      </c>
      <c r="D14">
        <v>15.06</v>
      </c>
    </row>
    <row r="15" spans="1:4" x14ac:dyDescent="0.2">
      <c r="A15">
        <v>1948</v>
      </c>
      <c r="B15">
        <v>15.164999999999999</v>
      </c>
      <c r="C15">
        <v>15.32</v>
      </c>
      <c r="D15">
        <v>15.06</v>
      </c>
    </row>
    <row r="16" spans="1:4" x14ac:dyDescent="0.2">
      <c r="A16">
        <v>1949</v>
      </c>
      <c r="B16">
        <v>19.015000000000001</v>
      </c>
      <c r="C16">
        <v>15.32</v>
      </c>
      <c r="D16">
        <v>15.06</v>
      </c>
    </row>
    <row r="17" spans="1:4" x14ac:dyDescent="0.2">
      <c r="A17">
        <v>1950</v>
      </c>
      <c r="B17">
        <v>8.9799999999999986</v>
      </c>
      <c r="C17">
        <v>15.32</v>
      </c>
      <c r="D17">
        <v>15.06</v>
      </c>
    </row>
    <row r="18" spans="1:4" x14ac:dyDescent="0.2">
      <c r="A18">
        <v>1951</v>
      </c>
      <c r="B18">
        <v>14.43</v>
      </c>
      <c r="C18">
        <v>15.32</v>
      </c>
      <c r="D18">
        <v>15.06</v>
      </c>
    </row>
    <row r="19" spans="1:4" x14ac:dyDescent="0.2">
      <c r="A19">
        <v>1952</v>
      </c>
      <c r="B19">
        <v>16.099999999999998</v>
      </c>
      <c r="C19">
        <v>15.32</v>
      </c>
      <c r="D19">
        <v>15.06</v>
      </c>
    </row>
    <row r="20" spans="1:4" x14ac:dyDescent="0.2">
      <c r="A20">
        <v>1953</v>
      </c>
      <c r="B20">
        <v>13.999999999999998</v>
      </c>
      <c r="C20">
        <v>15.32</v>
      </c>
      <c r="D20">
        <v>15.06</v>
      </c>
    </row>
    <row r="21" spans="1:4" x14ac:dyDescent="0.2">
      <c r="A21">
        <v>1954</v>
      </c>
      <c r="B21">
        <v>11.785000000000002</v>
      </c>
      <c r="C21">
        <v>15.32</v>
      </c>
      <c r="D21">
        <v>15.06</v>
      </c>
    </row>
    <row r="22" spans="1:4" x14ac:dyDescent="0.2">
      <c r="A22">
        <v>1955</v>
      </c>
      <c r="B22">
        <v>9.6349999999999998</v>
      </c>
      <c r="C22">
        <v>15.32</v>
      </c>
      <c r="D22">
        <v>15.06</v>
      </c>
    </row>
    <row r="23" spans="1:4" x14ac:dyDescent="0.2">
      <c r="A23">
        <v>1956</v>
      </c>
      <c r="B23">
        <v>4.9449999999999994</v>
      </c>
      <c r="C23">
        <v>15.32</v>
      </c>
      <c r="D23">
        <v>15.06</v>
      </c>
    </row>
    <row r="24" spans="1:4" x14ac:dyDescent="0.2">
      <c r="A24">
        <v>1957</v>
      </c>
      <c r="B24">
        <v>21.220000000000002</v>
      </c>
      <c r="C24">
        <v>15.32</v>
      </c>
      <c r="D24">
        <v>15.06</v>
      </c>
    </row>
    <row r="25" spans="1:4" x14ac:dyDescent="0.2">
      <c r="A25">
        <v>1958</v>
      </c>
      <c r="B25">
        <v>16.59</v>
      </c>
      <c r="C25">
        <v>15.32</v>
      </c>
      <c r="D25">
        <v>15.06</v>
      </c>
    </row>
    <row r="26" spans="1:4" x14ac:dyDescent="0.2">
      <c r="A26">
        <v>1959</v>
      </c>
      <c r="B26">
        <v>20.47</v>
      </c>
      <c r="C26">
        <v>15.32</v>
      </c>
      <c r="D26">
        <v>15.06</v>
      </c>
    </row>
    <row r="27" spans="1:4" x14ac:dyDescent="0.2">
      <c r="A27">
        <v>1960</v>
      </c>
      <c r="B27">
        <v>17.265000000000001</v>
      </c>
      <c r="C27">
        <v>15.32</v>
      </c>
      <c r="D27">
        <v>15.06</v>
      </c>
    </row>
    <row r="28" spans="1:4" x14ac:dyDescent="0.2">
      <c r="A28">
        <v>1961</v>
      </c>
      <c r="B28">
        <v>15.629999999999999</v>
      </c>
      <c r="C28">
        <v>15.32</v>
      </c>
      <c r="D28">
        <v>15.06</v>
      </c>
    </row>
    <row r="29" spans="1:4" x14ac:dyDescent="0.2">
      <c r="A29">
        <v>1962</v>
      </c>
      <c r="B29">
        <v>12.370000000000001</v>
      </c>
      <c r="C29">
        <v>15.32</v>
      </c>
      <c r="D29">
        <v>15.06</v>
      </c>
    </row>
    <row r="30" spans="1:4" x14ac:dyDescent="0.2">
      <c r="A30">
        <v>1963</v>
      </c>
      <c r="B30">
        <v>13.95</v>
      </c>
      <c r="C30">
        <v>15.32</v>
      </c>
      <c r="D30">
        <v>15.06</v>
      </c>
    </row>
    <row r="31" spans="1:4" x14ac:dyDescent="0.2">
      <c r="A31">
        <v>1964</v>
      </c>
      <c r="B31">
        <v>11.52</v>
      </c>
      <c r="C31">
        <v>15.32</v>
      </c>
      <c r="D31">
        <v>15.06</v>
      </c>
    </row>
    <row r="32" spans="1:4" x14ac:dyDescent="0.2">
      <c r="A32">
        <v>1965</v>
      </c>
      <c r="B32">
        <v>24.46</v>
      </c>
      <c r="C32">
        <v>15.32</v>
      </c>
      <c r="D32">
        <v>15.06</v>
      </c>
    </row>
    <row r="33" spans="1:4" x14ac:dyDescent="0.2">
      <c r="A33">
        <v>1966</v>
      </c>
      <c r="B33">
        <v>11.414999999999999</v>
      </c>
      <c r="C33">
        <v>15.32</v>
      </c>
      <c r="D33">
        <v>15.06</v>
      </c>
    </row>
    <row r="34" spans="1:4" x14ac:dyDescent="0.2">
      <c r="A34">
        <v>1967</v>
      </c>
      <c r="B34">
        <v>18.265000000000001</v>
      </c>
      <c r="C34">
        <v>15.32</v>
      </c>
      <c r="D34">
        <v>15.06</v>
      </c>
    </row>
    <row r="35" spans="1:4" x14ac:dyDescent="0.2">
      <c r="A35">
        <v>1968</v>
      </c>
      <c r="B35">
        <v>16.125000000000004</v>
      </c>
      <c r="C35">
        <v>15.32</v>
      </c>
      <c r="D35">
        <v>15.06</v>
      </c>
    </row>
    <row r="36" spans="1:4" x14ac:dyDescent="0.2">
      <c r="A36">
        <v>1969</v>
      </c>
      <c r="B36">
        <v>24.14</v>
      </c>
      <c r="C36">
        <v>15.32</v>
      </c>
      <c r="D36">
        <v>15.06</v>
      </c>
    </row>
    <row r="37" spans="1:4" x14ac:dyDescent="0.2">
      <c r="A37">
        <v>1970</v>
      </c>
      <c r="B37">
        <v>11.355</v>
      </c>
      <c r="C37">
        <v>15.32</v>
      </c>
      <c r="D37">
        <v>15.06</v>
      </c>
    </row>
    <row r="38" spans="1:4" x14ac:dyDescent="0.2">
      <c r="A38">
        <v>1971</v>
      </c>
      <c r="B38">
        <v>17.98</v>
      </c>
      <c r="C38">
        <v>15.32</v>
      </c>
      <c r="D38">
        <v>15.06</v>
      </c>
    </row>
    <row r="39" spans="1:4" x14ac:dyDescent="0.2">
      <c r="A39">
        <v>1972</v>
      </c>
      <c r="B39">
        <v>18.045000000000002</v>
      </c>
      <c r="C39">
        <v>15.32</v>
      </c>
      <c r="D39">
        <v>15.06</v>
      </c>
    </row>
    <row r="40" spans="1:4" x14ac:dyDescent="0.2">
      <c r="A40">
        <v>1973</v>
      </c>
      <c r="B40">
        <v>16.020000000000003</v>
      </c>
      <c r="C40">
        <v>15.32</v>
      </c>
      <c r="D40">
        <v>15.06</v>
      </c>
    </row>
    <row r="41" spans="1:4" x14ac:dyDescent="0.2">
      <c r="A41">
        <v>1974</v>
      </c>
      <c r="B41">
        <v>15.329999999999998</v>
      </c>
      <c r="C41">
        <v>15.32</v>
      </c>
      <c r="D41">
        <v>15.06</v>
      </c>
    </row>
    <row r="42" spans="1:4" x14ac:dyDescent="0.2">
      <c r="A42">
        <v>1975</v>
      </c>
      <c r="B42">
        <v>15.33</v>
      </c>
      <c r="C42">
        <v>15.32</v>
      </c>
      <c r="D42">
        <v>15.06</v>
      </c>
    </row>
    <row r="43" spans="1:4" x14ac:dyDescent="0.2">
      <c r="A43">
        <v>1976</v>
      </c>
      <c r="B43">
        <v>12.799999999999999</v>
      </c>
      <c r="C43">
        <v>15.32</v>
      </c>
      <c r="D43">
        <v>15.06</v>
      </c>
    </row>
    <row r="44" spans="1:4" x14ac:dyDescent="0.2">
      <c r="A44">
        <v>1977</v>
      </c>
      <c r="B44">
        <v>13.31</v>
      </c>
      <c r="C44">
        <v>15.32</v>
      </c>
      <c r="D44">
        <v>15.06</v>
      </c>
    </row>
    <row r="45" spans="1:4" x14ac:dyDescent="0.2">
      <c r="A45">
        <v>1978</v>
      </c>
      <c r="B45">
        <v>19.3</v>
      </c>
      <c r="C45">
        <v>15.32</v>
      </c>
      <c r="D45">
        <v>15.06</v>
      </c>
    </row>
    <row r="46" spans="1:4" x14ac:dyDescent="0.2">
      <c r="A46">
        <v>1979</v>
      </c>
      <c r="B46">
        <v>17.020000000000003</v>
      </c>
      <c r="C46">
        <v>15.32</v>
      </c>
      <c r="D46">
        <v>15.06</v>
      </c>
    </row>
    <row r="47" spans="1:4" x14ac:dyDescent="0.2">
      <c r="A47">
        <v>1980</v>
      </c>
      <c r="B47">
        <v>13.76</v>
      </c>
      <c r="C47">
        <v>15.32</v>
      </c>
      <c r="D47">
        <v>15.06</v>
      </c>
    </row>
    <row r="48" spans="1:4" x14ac:dyDescent="0.2">
      <c r="A48">
        <v>1981</v>
      </c>
      <c r="B48">
        <v>15.059999999999999</v>
      </c>
      <c r="C48">
        <v>15.32</v>
      </c>
      <c r="D48">
        <v>15.06</v>
      </c>
    </row>
    <row r="49" spans="1:4" x14ac:dyDescent="0.2">
      <c r="A49">
        <v>1982</v>
      </c>
      <c r="B49">
        <v>20.679999999999996</v>
      </c>
      <c r="C49">
        <v>15.32</v>
      </c>
      <c r="D49">
        <v>15.06</v>
      </c>
    </row>
    <row r="50" spans="1:4" x14ac:dyDescent="0.2">
      <c r="A50">
        <v>1983</v>
      </c>
      <c r="B50">
        <v>15.689999999999998</v>
      </c>
      <c r="C50">
        <v>15.32</v>
      </c>
      <c r="D50">
        <v>15.06</v>
      </c>
    </row>
    <row r="51" spans="1:4" x14ac:dyDescent="0.2">
      <c r="A51">
        <v>1984</v>
      </c>
      <c r="B51">
        <v>16.309999999999999</v>
      </c>
      <c r="C51">
        <v>15.32</v>
      </c>
      <c r="D51">
        <v>15.06</v>
      </c>
    </row>
    <row r="52" spans="1:4" x14ac:dyDescent="0.2">
      <c r="A52">
        <v>1985</v>
      </c>
      <c r="B52">
        <v>24.5</v>
      </c>
      <c r="C52">
        <v>15.32</v>
      </c>
      <c r="D52">
        <v>15.06</v>
      </c>
    </row>
    <row r="53" spans="1:4" x14ac:dyDescent="0.2">
      <c r="A53">
        <v>1986</v>
      </c>
      <c r="B53">
        <v>24.860000000000003</v>
      </c>
      <c r="C53">
        <v>15.32</v>
      </c>
      <c r="D53">
        <v>15.06</v>
      </c>
    </row>
    <row r="54" spans="1:4" x14ac:dyDescent="0.2">
      <c r="A54">
        <v>1987</v>
      </c>
      <c r="B54">
        <v>16.71</v>
      </c>
      <c r="C54">
        <v>15.32</v>
      </c>
      <c r="D54">
        <v>15.06</v>
      </c>
    </row>
    <row r="55" spans="1:4" x14ac:dyDescent="0.2">
      <c r="A55">
        <v>1988</v>
      </c>
      <c r="B55">
        <v>21.91</v>
      </c>
      <c r="C55">
        <v>15.32</v>
      </c>
      <c r="D55">
        <v>15.06</v>
      </c>
    </row>
    <row r="56" spans="1:4" x14ac:dyDescent="0.2">
      <c r="A56">
        <v>1989</v>
      </c>
      <c r="B56">
        <v>15.53</v>
      </c>
      <c r="C56">
        <v>15.32</v>
      </c>
      <c r="D56">
        <v>15.06</v>
      </c>
    </row>
    <row r="57" spans="1:4" x14ac:dyDescent="0.2">
      <c r="A57">
        <v>1990</v>
      </c>
      <c r="B57">
        <v>16.86</v>
      </c>
      <c r="C57">
        <v>15.32</v>
      </c>
      <c r="D57">
        <v>15.06</v>
      </c>
    </row>
    <row r="58" spans="1:4" x14ac:dyDescent="0.2">
      <c r="A58">
        <v>1991</v>
      </c>
      <c r="B58">
        <v>20.53</v>
      </c>
      <c r="C58">
        <v>15.32</v>
      </c>
      <c r="D58">
        <v>15.06</v>
      </c>
    </row>
    <row r="59" spans="1:4" x14ac:dyDescent="0.2">
      <c r="A59">
        <v>1992</v>
      </c>
      <c r="B59">
        <v>13.9</v>
      </c>
      <c r="C59">
        <v>15.32</v>
      </c>
      <c r="D59">
        <v>15.06</v>
      </c>
    </row>
    <row r="60" spans="1:4" x14ac:dyDescent="0.2">
      <c r="A60">
        <v>1993</v>
      </c>
      <c r="B60">
        <v>20.62</v>
      </c>
      <c r="C60">
        <v>15.32</v>
      </c>
      <c r="D60">
        <v>15.06</v>
      </c>
    </row>
    <row r="61" spans="1:4" x14ac:dyDescent="0.2">
      <c r="A61">
        <v>1994</v>
      </c>
      <c r="B61">
        <v>16.549999999999997</v>
      </c>
      <c r="C61">
        <v>15.32</v>
      </c>
      <c r="D61">
        <v>15.06</v>
      </c>
    </row>
    <row r="62" spans="1:4" x14ac:dyDescent="0.2">
      <c r="A62">
        <v>1995</v>
      </c>
      <c r="B62">
        <v>13.900000000000002</v>
      </c>
      <c r="C62">
        <v>15.32</v>
      </c>
      <c r="D62">
        <v>15.06</v>
      </c>
    </row>
    <row r="63" spans="1:4" x14ac:dyDescent="0.2">
      <c r="A63">
        <v>1996</v>
      </c>
      <c r="B63">
        <v>15.200000000000001</v>
      </c>
      <c r="C63">
        <v>15.32</v>
      </c>
      <c r="D63">
        <v>15.06</v>
      </c>
    </row>
    <row r="64" spans="1:4" x14ac:dyDescent="0.2">
      <c r="A64">
        <v>1997</v>
      </c>
      <c r="B64">
        <v>20.350000000000001</v>
      </c>
      <c r="C64">
        <v>15.32</v>
      </c>
      <c r="D64">
        <v>15.06</v>
      </c>
    </row>
    <row r="65" spans="1:4" x14ac:dyDescent="0.2">
      <c r="A65">
        <v>1998</v>
      </c>
      <c r="B65">
        <v>12.430000000000001</v>
      </c>
      <c r="C65">
        <v>15.32</v>
      </c>
      <c r="D65">
        <v>15.06</v>
      </c>
    </row>
    <row r="66" spans="1:4" x14ac:dyDescent="0.2">
      <c r="A66">
        <v>1999</v>
      </c>
      <c r="B66">
        <v>15.56</v>
      </c>
      <c r="C66">
        <v>15.32</v>
      </c>
      <c r="D66">
        <v>15.06</v>
      </c>
    </row>
    <row r="67" spans="1:4" x14ac:dyDescent="0.2">
      <c r="A67">
        <v>2000</v>
      </c>
      <c r="B67">
        <v>13.875</v>
      </c>
      <c r="C67">
        <v>15.32</v>
      </c>
      <c r="D67">
        <v>15.06</v>
      </c>
    </row>
    <row r="68" spans="1:4" x14ac:dyDescent="0.2">
      <c r="A68">
        <v>2001</v>
      </c>
      <c r="B68">
        <v>9.94</v>
      </c>
      <c r="C68">
        <v>15.32</v>
      </c>
      <c r="D68">
        <v>15.06</v>
      </c>
    </row>
    <row r="69" spans="1:4" x14ac:dyDescent="0.2">
      <c r="A69">
        <v>2002</v>
      </c>
      <c r="B69">
        <v>8.0500000000000007</v>
      </c>
      <c r="C69">
        <v>15.32</v>
      </c>
      <c r="D69">
        <v>15.06</v>
      </c>
    </row>
    <row r="70" spans="1:4" x14ac:dyDescent="0.2">
      <c r="A70">
        <v>2003</v>
      </c>
      <c r="B70">
        <v>8.7650000000000006</v>
      </c>
      <c r="C70">
        <v>15.32</v>
      </c>
      <c r="D70">
        <v>15.06</v>
      </c>
    </row>
    <row r="71" spans="1:4" x14ac:dyDescent="0.2">
      <c r="A71">
        <v>2004</v>
      </c>
      <c r="B71">
        <v>16.559999999999999</v>
      </c>
      <c r="C71">
        <v>15.32</v>
      </c>
      <c r="D71">
        <v>15.06</v>
      </c>
    </row>
    <row r="72" spans="1:4" x14ac:dyDescent="0.2">
      <c r="A72">
        <v>2005</v>
      </c>
      <c r="B72">
        <v>17.650000000000002</v>
      </c>
      <c r="C72">
        <v>15.32</v>
      </c>
      <c r="D72">
        <v>15.06</v>
      </c>
    </row>
    <row r="73" spans="1:4" x14ac:dyDescent="0.2">
      <c r="A73">
        <v>2006</v>
      </c>
      <c r="B73">
        <v>14.500000000000002</v>
      </c>
      <c r="C73">
        <v>15.32</v>
      </c>
      <c r="D73">
        <v>15.06</v>
      </c>
    </row>
    <row r="74" spans="1:4" x14ac:dyDescent="0.2">
      <c r="A74">
        <v>2007</v>
      </c>
      <c r="B74">
        <v>13.99</v>
      </c>
      <c r="C74">
        <v>15.32</v>
      </c>
      <c r="D74">
        <v>15.06</v>
      </c>
    </row>
    <row r="75" spans="1:4" x14ac:dyDescent="0.2">
      <c r="A75">
        <v>2008</v>
      </c>
      <c r="B75">
        <v>15.399999999999999</v>
      </c>
      <c r="C75">
        <v>15.32</v>
      </c>
      <c r="D75">
        <v>15.06</v>
      </c>
    </row>
    <row r="76" spans="1:4" x14ac:dyDescent="0.2">
      <c r="A76">
        <v>2009</v>
      </c>
      <c r="B76">
        <v>13.950000000000001</v>
      </c>
      <c r="C76">
        <v>15.32</v>
      </c>
      <c r="D76">
        <v>15.06</v>
      </c>
    </row>
    <row r="77" spans="1:4" x14ac:dyDescent="0.2">
      <c r="A77">
        <v>2010</v>
      </c>
      <c r="B77">
        <v>14.220000000000002</v>
      </c>
      <c r="C77">
        <v>15.32</v>
      </c>
      <c r="D77">
        <v>15.06</v>
      </c>
    </row>
    <row r="78" spans="1:4" x14ac:dyDescent="0.2">
      <c r="A78">
        <v>2011</v>
      </c>
      <c r="B78">
        <v>9.23</v>
      </c>
      <c r="C78">
        <v>15.32</v>
      </c>
      <c r="D78">
        <v>15.06</v>
      </c>
    </row>
    <row r="79" spans="1:4" x14ac:dyDescent="0.2">
      <c r="A79">
        <v>2012</v>
      </c>
      <c r="B79">
        <v>6.4050000000000011</v>
      </c>
      <c r="C79">
        <v>15.32</v>
      </c>
      <c r="D79">
        <v>15.06</v>
      </c>
    </row>
    <row r="80" spans="1:4" x14ac:dyDescent="0.2">
      <c r="A80">
        <v>2013</v>
      </c>
      <c r="B80">
        <v>14.940000000000001</v>
      </c>
      <c r="C80">
        <v>15.32</v>
      </c>
      <c r="D80">
        <v>15.06</v>
      </c>
    </row>
    <row r="81" spans="1:4" x14ac:dyDescent="0.2">
      <c r="A81">
        <v>2014</v>
      </c>
      <c r="B81">
        <v>11.62</v>
      </c>
      <c r="C81">
        <v>15.32</v>
      </c>
      <c r="D81">
        <v>15.06</v>
      </c>
    </row>
    <row r="82" spans="1:4" x14ac:dyDescent="0.2">
      <c r="A82">
        <v>2015</v>
      </c>
      <c r="B82">
        <v>17.29</v>
      </c>
      <c r="C82">
        <v>15.32</v>
      </c>
      <c r="D82">
        <v>15.06</v>
      </c>
    </row>
    <row r="83" spans="1:4" x14ac:dyDescent="0.2">
      <c r="A83">
        <v>2016</v>
      </c>
      <c r="B83">
        <v>11.22</v>
      </c>
      <c r="C83">
        <v>15.32</v>
      </c>
      <c r="D83">
        <v>15.06</v>
      </c>
    </row>
    <row r="84" spans="1:4" x14ac:dyDescent="0.2">
      <c r="A84">
        <v>2017</v>
      </c>
      <c r="B84">
        <v>12.38</v>
      </c>
      <c r="C84">
        <v>15.32</v>
      </c>
      <c r="D84">
        <v>15.06</v>
      </c>
    </row>
    <row r="85" spans="1:4" x14ac:dyDescent="0.2">
      <c r="A85">
        <v>2018</v>
      </c>
      <c r="B85">
        <v>11.5</v>
      </c>
      <c r="C85">
        <v>15.32</v>
      </c>
      <c r="D85">
        <v>15.06</v>
      </c>
    </row>
    <row r="86" spans="1:4" x14ac:dyDescent="0.2">
      <c r="A86">
        <v>2019</v>
      </c>
      <c r="B86">
        <v>13.000000000000002</v>
      </c>
      <c r="C86">
        <v>15.32</v>
      </c>
      <c r="D86">
        <v>15.06</v>
      </c>
    </row>
    <row r="87" spans="1:4" x14ac:dyDescent="0.2">
      <c r="A87" t="s">
        <v>61</v>
      </c>
      <c r="B87" s="23">
        <f>SUM(B2:B86)/85</f>
        <v>15.315411764705882</v>
      </c>
    </row>
    <row r="88" spans="1:4" x14ac:dyDescent="0.2">
      <c r="A88" t="s">
        <v>62</v>
      </c>
      <c r="B88">
        <f>MEDIAN(B2:B86)</f>
        <v>15.059999999999999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26CF-1F6D-4770-BBCD-D2EACF92E6D4}">
  <dimension ref="A1:D93"/>
  <sheetViews>
    <sheetView workbookViewId="0">
      <selection activeCell="F5" sqref="F5"/>
    </sheetView>
  </sheetViews>
  <sheetFormatPr defaultRowHeight="12.75" x14ac:dyDescent="0.2"/>
  <cols>
    <col min="1" max="1" width="8.7109375" bestFit="1" customWidth="1"/>
    <col min="2" max="2" width="5" bestFit="1" customWidth="1"/>
    <col min="3" max="3" width="4.85546875" bestFit="1" customWidth="1"/>
    <col min="4" max="4" width="5.5703125" bestFit="1" customWidth="1"/>
  </cols>
  <sheetData>
    <row r="1" spans="1:4" x14ac:dyDescent="0.2">
      <c r="A1" s="34" t="s">
        <v>25</v>
      </c>
      <c r="B1" t="s">
        <v>96</v>
      </c>
      <c r="C1" s="2" t="s">
        <v>7</v>
      </c>
      <c r="D1" s="2" t="s">
        <v>8</v>
      </c>
    </row>
    <row r="2" spans="1:4" x14ac:dyDescent="0.2">
      <c r="A2" s="1">
        <v>1928</v>
      </c>
      <c r="B2">
        <f t="shared" ref="B2:B33" si="0">C2+D2</f>
        <v>5.99</v>
      </c>
      <c r="C2" s="1">
        <v>1.17</v>
      </c>
      <c r="D2" s="1">
        <v>4.82</v>
      </c>
    </row>
    <row r="3" spans="1:4" x14ac:dyDescent="0.2">
      <c r="A3" s="1">
        <v>1929</v>
      </c>
      <c r="B3">
        <f t="shared" si="0"/>
        <v>5.62</v>
      </c>
      <c r="C3" s="1">
        <v>2.46</v>
      </c>
      <c r="D3" s="1">
        <v>3.16</v>
      </c>
    </row>
    <row r="4" spans="1:4" x14ac:dyDescent="0.2">
      <c r="A4" s="1">
        <v>1931</v>
      </c>
      <c r="B4">
        <f t="shared" si="0"/>
        <v>5</v>
      </c>
      <c r="C4" s="1">
        <v>2.74</v>
      </c>
      <c r="D4" s="1">
        <v>2.2599999999999998</v>
      </c>
    </row>
    <row r="5" spans="1:4" x14ac:dyDescent="0.2">
      <c r="A5" s="1">
        <v>1932</v>
      </c>
      <c r="B5">
        <f t="shared" si="0"/>
        <v>4.7699999999999996</v>
      </c>
      <c r="C5" s="1">
        <v>2.5299999999999998</v>
      </c>
      <c r="D5" s="1">
        <v>2.2400000000000002</v>
      </c>
    </row>
    <row r="6" spans="1:4" x14ac:dyDescent="0.2">
      <c r="A6" s="1">
        <v>1933</v>
      </c>
      <c r="B6">
        <f t="shared" si="0"/>
        <v>5.3100000000000005</v>
      </c>
      <c r="C6" s="1">
        <v>2.4300000000000002</v>
      </c>
      <c r="D6" s="1">
        <v>2.88</v>
      </c>
    </row>
    <row r="7" spans="1:4" x14ac:dyDescent="0.2">
      <c r="A7" s="1">
        <v>1934</v>
      </c>
      <c r="B7">
        <f t="shared" si="0"/>
        <v>4.17</v>
      </c>
      <c r="C7" s="1">
        <v>1.61</v>
      </c>
      <c r="D7" s="1">
        <v>2.56</v>
      </c>
    </row>
    <row r="8" spans="1:4" x14ac:dyDescent="0.2">
      <c r="A8" s="1">
        <v>1935</v>
      </c>
      <c r="B8">
        <f t="shared" si="0"/>
        <v>6.68</v>
      </c>
      <c r="C8" s="1">
        <v>1.06</v>
      </c>
      <c r="D8" s="1">
        <v>5.62</v>
      </c>
    </row>
    <row r="9" spans="1:4" x14ac:dyDescent="0.2">
      <c r="A9" s="1">
        <v>1936</v>
      </c>
      <c r="B9">
        <f t="shared" si="0"/>
        <v>4.55</v>
      </c>
      <c r="C9" s="1">
        <v>3.23</v>
      </c>
      <c r="D9" s="1">
        <v>1.32</v>
      </c>
    </row>
    <row r="10" spans="1:4" x14ac:dyDescent="0.2">
      <c r="A10" s="1">
        <v>1937</v>
      </c>
      <c r="B10">
        <f t="shared" si="0"/>
        <v>1.9100000000000001</v>
      </c>
      <c r="C10" s="1">
        <v>1.01</v>
      </c>
      <c r="D10" s="1">
        <v>0.9</v>
      </c>
    </row>
    <row r="11" spans="1:4" x14ac:dyDescent="0.2">
      <c r="A11" s="1">
        <v>1938</v>
      </c>
      <c r="B11">
        <f t="shared" si="0"/>
        <v>2.12</v>
      </c>
      <c r="C11" s="1">
        <v>1.63</v>
      </c>
      <c r="D11" s="1">
        <v>0.49</v>
      </c>
    </row>
    <row r="12" spans="1:4" x14ac:dyDescent="0.2">
      <c r="A12" s="1">
        <v>1939</v>
      </c>
      <c r="B12">
        <f t="shared" si="0"/>
        <v>6.5699999999999994</v>
      </c>
      <c r="C12" s="1">
        <v>4.5199999999999996</v>
      </c>
      <c r="D12" s="1">
        <v>2.0499999999999998</v>
      </c>
    </row>
    <row r="13" spans="1:4" x14ac:dyDescent="0.2">
      <c r="A13" s="1">
        <v>1940</v>
      </c>
      <c r="B13">
        <f t="shared" si="0"/>
        <v>5.19</v>
      </c>
      <c r="C13" s="1">
        <v>3.45</v>
      </c>
      <c r="D13" s="1">
        <v>1.74</v>
      </c>
    </row>
    <row r="14" spans="1:4" x14ac:dyDescent="0.2">
      <c r="A14" s="1">
        <v>1941</v>
      </c>
      <c r="B14">
        <f t="shared" si="0"/>
        <v>4.9800000000000004</v>
      </c>
      <c r="C14" s="1">
        <v>2.64</v>
      </c>
      <c r="D14" s="1">
        <v>2.34</v>
      </c>
    </row>
    <row r="15" spans="1:4" x14ac:dyDescent="0.2">
      <c r="A15" s="1">
        <v>1942</v>
      </c>
      <c r="B15">
        <f t="shared" si="0"/>
        <v>2.4699999999999998</v>
      </c>
      <c r="C15" s="1">
        <v>0.69</v>
      </c>
      <c r="D15" s="1">
        <v>1.78</v>
      </c>
    </row>
    <row r="16" spans="1:4" x14ac:dyDescent="0.2">
      <c r="A16" s="1">
        <v>1943</v>
      </c>
      <c r="B16">
        <f t="shared" si="0"/>
        <v>3.6500000000000004</v>
      </c>
      <c r="C16" s="1">
        <v>2.74</v>
      </c>
      <c r="D16" s="1">
        <v>0.91</v>
      </c>
    </row>
    <row r="17" spans="1:4" x14ac:dyDescent="0.2">
      <c r="A17" s="1">
        <v>1944</v>
      </c>
      <c r="B17">
        <f t="shared" si="0"/>
        <v>5.84</v>
      </c>
      <c r="C17" s="1">
        <v>2.74</v>
      </c>
      <c r="D17" s="1">
        <v>3.1</v>
      </c>
    </row>
    <row r="18" spans="1:4" x14ac:dyDescent="0.2">
      <c r="A18" s="1">
        <v>1945</v>
      </c>
      <c r="B18">
        <f t="shared" si="0"/>
        <v>3.7399999999999998</v>
      </c>
      <c r="C18" s="1">
        <v>1.23</v>
      </c>
      <c r="D18" s="1">
        <v>2.5099999999999998</v>
      </c>
    </row>
    <row r="19" spans="1:4" x14ac:dyDescent="0.2">
      <c r="A19" s="1">
        <v>1946</v>
      </c>
      <c r="B19">
        <f t="shared" si="0"/>
        <v>5.74</v>
      </c>
      <c r="C19" s="1">
        <v>1.77</v>
      </c>
      <c r="D19" s="1">
        <v>3.97</v>
      </c>
    </row>
    <row r="20" spans="1:4" x14ac:dyDescent="0.2">
      <c r="A20" s="1">
        <v>1947</v>
      </c>
      <c r="B20">
        <f t="shared" si="0"/>
        <v>5.53</v>
      </c>
      <c r="C20" s="1">
        <v>0.99</v>
      </c>
      <c r="D20" s="1">
        <v>4.54</v>
      </c>
    </row>
    <row r="21" spans="1:4" x14ac:dyDescent="0.2">
      <c r="A21" s="1">
        <v>1948</v>
      </c>
      <c r="B21">
        <f t="shared" si="0"/>
        <v>4.17</v>
      </c>
      <c r="C21" s="1">
        <v>1.52</v>
      </c>
      <c r="D21" s="1">
        <v>2.65</v>
      </c>
    </row>
    <row r="22" spans="1:4" x14ac:dyDescent="0.2">
      <c r="A22" s="1">
        <v>1949</v>
      </c>
      <c r="B22">
        <f t="shared" si="0"/>
        <v>6.35</v>
      </c>
      <c r="C22" s="1">
        <v>5.29</v>
      </c>
      <c r="D22" s="1">
        <v>1.06</v>
      </c>
    </row>
    <row r="23" spans="1:4" x14ac:dyDescent="0.2">
      <c r="A23" s="1">
        <v>1950</v>
      </c>
      <c r="B23">
        <f t="shared" si="0"/>
        <v>5.17</v>
      </c>
      <c r="C23" s="1">
        <v>4.12</v>
      </c>
      <c r="D23" s="1">
        <v>1.05</v>
      </c>
    </row>
    <row r="24" spans="1:4" x14ac:dyDescent="0.2">
      <c r="A24" s="28">
        <v>1951</v>
      </c>
      <c r="B24">
        <f t="shared" si="0"/>
        <v>8.17</v>
      </c>
      <c r="C24" s="1">
        <v>3.45</v>
      </c>
      <c r="D24" s="1">
        <v>4.72</v>
      </c>
    </row>
    <row r="25" spans="1:4" x14ac:dyDescent="0.2">
      <c r="A25" s="1">
        <v>1952</v>
      </c>
      <c r="B25">
        <f t="shared" si="0"/>
        <v>6.9399999999999995</v>
      </c>
      <c r="C25" s="1">
        <v>3.78</v>
      </c>
      <c r="D25" s="1">
        <v>3.16</v>
      </c>
    </row>
    <row r="26" spans="1:4" x14ac:dyDescent="0.2">
      <c r="A26" s="1">
        <v>1953</v>
      </c>
      <c r="B26">
        <f t="shared" si="0"/>
        <v>4.4400000000000004</v>
      </c>
      <c r="C26" s="1">
        <v>2.93</v>
      </c>
      <c r="D26" s="1">
        <v>1.51</v>
      </c>
    </row>
    <row r="27" spans="1:4" x14ac:dyDescent="0.2">
      <c r="A27" s="1">
        <v>1954</v>
      </c>
      <c r="B27">
        <f t="shared" si="0"/>
        <v>5.73</v>
      </c>
      <c r="C27" s="1">
        <v>4</v>
      </c>
      <c r="D27" s="1">
        <v>1.73</v>
      </c>
    </row>
    <row r="28" spans="1:4" x14ac:dyDescent="0.2">
      <c r="A28" s="1">
        <v>1955</v>
      </c>
      <c r="B28">
        <f t="shared" si="0"/>
        <v>4.72</v>
      </c>
      <c r="C28" s="1">
        <v>1.68</v>
      </c>
      <c r="D28" s="1">
        <v>3.04</v>
      </c>
    </row>
    <row r="29" spans="1:4" x14ac:dyDescent="0.2">
      <c r="A29" s="28">
        <v>1956</v>
      </c>
      <c r="B29">
        <f t="shared" si="0"/>
        <v>1.73</v>
      </c>
      <c r="C29" s="1">
        <v>0.7</v>
      </c>
      <c r="D29" s="1">
        <v>1.03</v>
      </c>
    </row>
    <row r="30" spans="1:4" x14ac:dyDescent="0.2">
      <c r="A30" s="28">
        <v>1957</v>
      </c>
      <c r="B30">
        <f t="shared" si="0"/>
        <v>7.65</v>
      </c>
      <c r="C30" s="1">
        <v>3.15</v>
      </c>
      <c r="D30" s="1">
        <v>4.5</v>
      </c>
    </row>
    <row r="31" spans="1:4" x14ac:dyDescent="0.2">
      <c r="A31" s="1">
        <v>1958</v>
      </c>
      <c r="B31">
        <f t="shared" si="0"/>
        <v>2.88</v>
      </c>
      <c r="C31" s="1">
        <v>0.52</v>
      </c>
      <c r="D31" s="1">
        <v>2.36</v>
      </c>
    </row>
    <row r="32" spans="1:4" x14ac:dyDescent="0.2">
      <c r="A32" s="1">
        <v>1959</v>
      </c>
      <c r="B32">
        <f t="shared" si="0"/>
        <v>8.73</v>
      </c>
      <c r="C32" s="1">
        <v>2.25</v>
      </c>
      <c r="D32" s="1">
        <v>6.48</v>
      </c>
    </row>
    <row r="33" spans="1:4" x14ac:dyDescent="0.2">
      <c r="A33" s="1">
        <v>1960</v>
      </c>
      <c r="B33">
        <f t="shared" si="0"/>
        <v>4.22</v>
      </c>
      <c r="C33" s="1">
        <v>2.5</v>
      </c>
      <c r="D33" s="1">
        <v>1.72</v>
      </c>
    </row>
    <row r="34" spans="1:4" x14ac:dyDescent="0.2">
      <c r="A34" s="1">
        <v>1961</v>
      </c>
      <c r="B34">
        <f t="shared" ref="B34:B65" si="1">C34+D34</f>
        <v>6.37</v>
      </c>
      <c r="C34" s="1">
        <v>1.36</v>
      </c>
      <c r="D34" s="1">
        <v>5.01</v>
      </c>
    </row>
    <row r="35" spans="1:4" x14ac:dyDescent="0.2">
      <c r="A35" s="1">
        <v>1962</v>
      </c>
      <c r="B35">
        <f t="shared" si="1"/>
        <v>3.89</v>
      </c>
      <c r="C35" s="1">
        <v>3.54</v>
      </c>
      <c r="D35" s="1">
        <v>0.35</v>
      </c>
    </row>
    <row r="36" spans="1:4" x14ac:dyDescent="0.2">
      <c r="A36" s="1">
        <v>1963</v>
      </c>
      <c r="B36">
        <f t="shared" si="1"/>
        <v>4.28</v>
      </c>
      <c r="C36" s="1">
        <v>1.28</v>
      </c>
      <c r="D36" s="1">
        <v>3</v>
      </c>
    </row>
    <row r="37" spans="1:4" x14ac:dyDescent="0.2">
      <c r="A37" s="1">
        <v>1964</v>
      </c>
      <c r="B37">
        <f t="shared" si="1"/>
        <v>4.62</v>
      </c>
      <c r="C37" s="1">
        <v>2.25</v>
      </c>
      <c r="D37" s="1">
        <v>2.37</v>
      </c>
    </row>
    <row r="38" spans="1:4" x14ac:dyDescent="0.2">
      <c r="A38" s="28">
        <v>1965</v>
      </c>
      <c r="B38">
        <f t="shared" si="1"/>
        <v>5.25</v>
      </c>
      <c r="C38" s="1">
        <v>1.76</v>
      </c>
      <c r="D38" s="1">
        <v>3.49</v>
      </c>
    </row>
    <row r="39" spans="1:4" x14ac:dyDescent="0.2">
      <c r="A39" s="1">
        <v>1966</v>
      </c>
      <c r="B39">
        <f t="shared" si="1"/>
        <v>5.59</v>
      </c>
      <c r="C39" s="1">
        <v>1.98</v>
      </c>
      <c r="D39" s="1">
        <v>3.61</v>
      </c>
    </row>
    <row r="40" spans="1:4" x14ac:dyDescent="0.2">
      <c r="A40" s="1">
        <v>1967</v>
      </c>
      <c r="B40">
        <f t="shared" si="1"/>
        <v>9.73</v>
      </c>
      <c r="C40" s="1">
        <v>3.77</v>
      </c>
      <c r="D40" s="1">
        <v>5.96</v>
      </c>
    </row>
    <row r="41" spans="1:4" x14ac:dyDescent="0.2">
      <c r="A41" s="1">
        <v>1968</v>
      </c>
      <c r="B41">
        <f t="shared" si="1"/>
        <v>8.15</v>
      </c>
      <c r="C41" s="1">
        <v>3.54</v>
      </c>
      <c r="D41" s="1">
        <v>4.6100000000000003</v>
      </c>
    </row>
    <row r="42" spans="1:4" x14ac:dyDescent="0.2">
      <c r="A42" s="1">
        <v>1969</v>
      </c>
      <c r="B42">
        <f t="shared" si="1"/>
        <v>6.51</v>
      </c>
      <c r="C42" s="1">
        <v>2.39</v>
      </c>
      <c r="D42" s="1">
        <v>4.12</v>
      </c>
    </row>
    <row r="43" spans="1:4" x14ac:dyDescent="0.2">
      <c r="A43" s="1">
        <v>1970</v>
      </c>
      <c r="B43">
        <f t="shared" si="1"/>
        <v>5.6</v>
      </c>
      <c r="C43" s="1">
        <v>3.12</v>
      </c>
      <c r="D43" s="1">
        <v>2.48</v>
      </c>
    </row>
    <row r="44" spans="1:4" x14ac:dyDescent="0.2">
      <c r="A44" s="28">
        <v>1971</v>
      </c>
      <c r="B44">
        <f t="shared" si="1"/>
        <v>5.6899999999999995</v>
      </c>
      <c r="C44" s="1">
        <v>2.71</v>
      </c>
      <c r="D44" s="1">
        <v>2.98</v>
      </c>
    </row>
    <row r="45" spans="1:4" x14ac:dyDescent="0.2">
      <c r="A45" s="28">
        <v>1972</v>
      </c>
      <c r="B45">
        <f t="shared" si="1"/>
        <v>5.3900000000000006</v>
      </c>
      <c r="C45" s="1">
        <v>2.37</v>
      </c>
      <c r="D45" s="1">
        <v>3.02</v>
      </c>
    </row>
    <row r="46" spans="1:4" x14ac:dyDescent="0.2">
      <c r="A46" s="1">
        <v>1973</v>
      </c>
      <c r="B46">
        <f t="shared" si="1"/>
        <v>6.35</v>
      </c>
      <c r="C46" s="1">
        <v>3.7</v>
      </c>
      <c r="D46" s="1">
        <v>2.65</v>
      </c>
    </row>
    <row r="47" spans="1:4" x14ac:dyDescent="0.2">
      <c r="A47" s="28">
        <v>1974</v>
      </c>
      <c r="B47">
        <f t="shared" si="1"/>
        <v>4.51</v>
      </c>
      <c r="C47" s="1">
        <v>2.2000000000000002</v>
      </c>
      <c r="D47" s="1">
        <v>2.31</v>
      </c>
    </row>
    <row r="48" spans="1:4" x14ac:dyDescent="0.2">
      <c r="A48" s="28">
        <v>1975</v>
      </c>
      <c r="B48">
        <f t="shared" si="1"/>
        <v>4.71</v>
      </c>
      <c r="C48" s="1">
        <v>3.53</v>
      </c>
      <c r="D48" s="1">
        <v>1.18</v>
      </c>
    </row>
    <row r="49" spans="1:4" x14ac:dyDescent="0.2">
      <c r="A49" s="28">
        <v>1976</v>
      </c>
      <c r="B49">
        <f t="shared" si="1"/>
        <v>6.38</v>
      </c>
      <c r="C49" s="1">
        <v>2.71</v>
      </c>
      <c r="D49" s="1">
        <v>3.67</v>
      </c>
    </row>
    <row r="50" spans="1:4" x14ac:dyDescent="0.2">
      <c r="A50" s="1">
        <v>1977</v>
      </c>
      <c r="B50">
        <f t="shared" si="1"/>
        <v>8.3099999999999987</v>
      </c>
      <c r="C50" s="1">
        <v>3.84</v>
      </c>
      <c r="D50" s="1">
        <v>4.47</v>
      </c>
    </row>
    <row r="51" spans="1:4" x14ac:dyDescent="0.2">
      <c r="A51" s="1">
        <v>1978</v>
      </c>
      <c r="B51">
        <f t="shared" si="1"/>
        <v>2.27</v>
      </c>
      <c r="C51" s="1">
        <v>1.52</v>
      </c>
      <c r="D51" s="1">
        <v>0.75</v>
      </c>
    </row>
    <row r="52" spans="1:4" x14ac:dyDescent="0.2">
      <c r="A52" s="1">
        <v>1979</v>
      </c>
      <c r="B52">
        <f t="shared" si="1"/>
        <v>3.09</v>
      </c>
      <c r="C52" s="1">
        <v>0.42</v>
      </c>
      <c r="D52" s="1">
        <v>2.67</v>
      </c>
    </row>
    <row r="53" spans="1:4" x14ac:dyDescent="0.2">
      <c r="A53" s="1">
        <v>1980</v>
      </c>
      <c r="B53">
        <f t="shared" si="1"/>
        <v>2.79</v>
      </c>
      <c r="C53" s="1">
        <v>0.69</v>
      </c>
      <c r="D53" s="1">
        <v>2.1</v>
      </c>
    </row>
    <row r="54" spans="1:4" x14ac:dyDescent="0.2">
      <c r="A54" s="1">
        <v>1981</v>
      </c>
      <c r="B54">
        <f t="shared" si="1"/>
        <v>3.45</v>
      </c>
      <c r="C54" s="1">
        <v>1.76</v>
      </c>
      <c r="D54" s="1">
        <v>1.69</v>
      </c>
    </row>
    <row r="55" spans="1:4" x14ac:dyDescent="0.2">
      <c r="A55" s="1">
        <v>1982</v>
      </c>
      <c r="B55">
        <f t="shared" si="1"/>
        <v>6.91</v>
      </c>
      <c r="C55" s="1">
        <v>3.12</v>
      </c>
      <c r="D55" s="1">
        <v>3.79</v>
      </c>
    </row>
    <row r="56" spans="1:4" x14ac:dyDescent="0.2">
      <c r="A56" s="1">
        <v>1983</v>
      </c>
      <c r="B56">
        <f t="shared" si="1"/>
        <v>5.83</v>
      </c>
      <c r="C56" s="1">
        <v>2.39</v>
      </c>
      <c r="D56" s="1">
        <v>3.44</v>
      </c>
    </row>
    <row r="57" spans="1:4" x14ac:dyDescent="0.2">
      <c r="A57" s="1">
        <v>1984</v>
      </c>
      <c r="B57">
        <f t="shared" si="1"/>
        <v>5.19</v>
      </c>
      <c r="C57" s="1">
        <v>1.51</v>
      </c>
      <c r="D57" s="1">
        <v>3.68</v>
      </c>
    </row>
    <row r="58" spans="1:4" x14ac:dyDescent="0.2">
      <c r="A58" s="1">
        <v>1985</v>
      </c>
      <c r="B58">
        <f t="shared" si="1"/>
        <v>4.51</v>
      </c>
      <c r="C58" s="1">
        <v>1.94</v>
      </c>
      <c r="D58" s="1">
        <v>2.57</v>
      </c>
    </row>
    <row r="59" spans="1:4" x14ac:dyDescent="0.2">
      <c r="A59" s="1">
        <v>1986</v>
      </c>
      <c r="B59">
        <f t="shared" si="1"/>
        <v>5.41</v>
      </c>
      <c r="C59" s="1">
        <v>3.22</v>
      </c>
      <c r="D59" s="1">
        <v>2.19</v>
      </c>
    </row>
    <row r="60" spans="1:4" x14ac:dyDescent="0.2">
      <c r="A60" s="1">
        <v>1987</v>
      </c>
      <c r="B60">
        <f t="shared" si="1"/>
        <v>4.7699999999999996</v>
      </c>
      <c r="C60" s="1">
        <v>1.21</v>
      </c>
      <c r="D60" s="1">
        <v>3.56</v>
      </c>
    </row>
    <row r="61" spans="1:4" x14ac:dyDescent="0.2">
      <c r="A61" s="1">
        <v>1988</v>
      </c>
      <c r="B61">
        <f t="shared" si="1"/>
        <v>7.4</v>
      </c>
      <c r="C61" s="1">
        <v>3.2</v>
      </c>
      <c r="D61" s="1">
        <v>4.2</v>
      </c>
    </row>
    <row r="62" spans="1:4" x14ac:dyDescent="0.2">
      <c r="A62" s="28">
        <v>1989</v>
      </c>
      <c r="B62">
        <f t="shared" si="1"/>
        <v>5.78</v>
      </c>
      <c r="C62" s="1">
        <v>2.97</v>
      </c>
      <c r="D62" s="1">
        <v>2.81</v>
      </c>
    </row>
    <row r="63" spans="1:4" x14ac:dyDescent="0.2">
      <c r="A63" s="1">
        <v>1990</v>
      </c>
      <c r="B63">
        <f t="shared" si="1"/>
        <v>5.09</v>
      </c>
      <c r="C63" s="1">
        <v>3.93</v>
      </c>
      <c r="D63" s="1">
        <v>1.1599999999999999</v>
      </c>
    </row>
    <row r="64" spans="1:4" x14ac:dyDescent="0.2">
      <c r="A64" s="1">
        <v>1991</v>
      </c>
      <c r="B64">
        <f t="shared" si="1"/>
        <v>8.5300000000000011</v>
      </c>
      <c r="C64" s="1">
        <v>3.55</v>
      </c>
      <c r="D64" s="1">
        <v>4.9800000000000004</v>
      </c>
    </row>
    <row r="65" spans="1:4" x14ac:dyDescent="0.2">
      <c r="A65" s="1">
        <v>1992</v>
      </c>
      <c r="B65">
        <f t="shared" si="1"/>
        <v>3.07</v>
      </c>
      <c r="C65" s="1">
        <v>1.19</v>
      </c>
      <c r="D65" s="1">
        <v>1.88</v>
      </c>
    </row>
    <row r="66" spans="1:4" x14ac:dyDescent="0.2">
      <c r="A66" s="1">
        <v>1993</v>
      </c>
      <c r="B66">
        <f t="shared" ref="B66:B93" si="2">C66+D66</f>
        <v>6.4399999999999995</v>
      </c>
      <c r="C66" s="1">
        <v>3.06</v>
      </c>
      <c r="D66" s="1">
        <v>3.38</v>
      </c>
    </row>
    <row r="67" spans="1:4" x14ac:dyDescent="0.2">
      <c r="A67" s="1">
        <v>1994</v>
      </c>
      <c r="B67">
        <f t="shared" si="2"/>
        <v>3.4299999999999997</v>
      </c>
      <c r="C67" s="1">
        <v>1.01</v>
      </c>
      <c r="D67" s="1">
        <v>2.42</v>
      </c>
    </row>
    <row r="68" spans="1:4" x14ac:dyDescent="0.2">
      <c r="A68" s="1">
        <v>1995</v>
      </c>
      <c r="B68">
        <f t="shared" si="2"/>
        <v>3.7199999999999998</v>
      </c>
      <c r="C68" s="1">
        <v>2.09</v>
      </c>
      <c r="D68" s="1">
        <v>1.63</v>
      </c>
    </row>
    <row r="69" spans="1:4" x14ac:dyDescent="0.2">
      <c r="A69" s="1">
        <v>1996</v>
      </c>
      <c r="B69">
        <f t="shared" si="2"/>
        <v>5.54</v>
      </c>
      <c r="C69" s="1">
        <v>2.57</v>
      </c>
      <c r="D69" s="1">
        <v>2.97</v>
      </c>
    </row>
    <row r="70" spans="1:4" x14ac:dyDescent="0.2">
      <c r="A70" s="1">
        <v>1997</v>
      </c>
      <c r="B70">
        <f t="shared" si="2"/>
        <v>6.15</v>
      </c>
      <c r="C70" s="1">
        <v>2.19</v>
      </c>
      <c r="D70" s="1">
        <v>3.96</v>
      </c>
    </row>
    <row r="71" spans="1:4" x14ac:dyDescent="0.2">
      <c r="A71" s="1">
        <v>1998</v>
      </c>
      <c r="B71">
        <f t="shared" si="2"/>
        <v>4.6400000000000006</v>
      </c>
      <c r="C71" s="1">
        <v>2.56</v>
      </c>
      <c r="D71" s="1">
        <v>2.08</v>
      </c>
    </row>
    <row r="72" spans="1:4" x14ac:dyDescent="0.2">
      <c r="A72" s="28">
        <v>1999</v>
      </c>
      <c r="B72">
        <f t="shared" si="2"/>
        <v>5.09</v>
      </c>
      <c r="C72" s="1">
        <v>2.35</v>
      </c>
      <c r="D72" s="1">
        <v>2.74</v>
      </c>
    </row>
    <row r="73" spans="1:4" x14ac:dyDescent="0.2">
      <c r="A73" s="1">
        <v>2000</v>
      </c>
      <c r="B73">
        <f t="shared" si="2"/>
        <v>4.62</v>
      </c>
      <c r="C73" s="1">
        <v>1.1499999999999999</v>
      </c>
      <c r="D73" s="1">
        <v>3.47</v>
      </c>
    </row>
    <row r="74" spans="1:4" x14ac:dyDescent="0.2">
      <c r="A74" s="28">
        <v>2001</v>
      </c>
      <c r="B74">
        <f t="shared" si="2"/>
        <v>4.29</v>
      </c>
      <c r="C74" s="1">
        <v>2.21</v>
      </c>
      <c r="D74" s="1">
        <v>2.08</v>
      </c>
    </row>
    <row r="75" spans="1:4" x14ac:dyDescent="0.2">
      <c r="A75" s="1">
        <v>2002</v>
      </c>
      <c r="B75">
        <f t="shared" si="2"/>
        <v>1.65</v>
      </c>
      <c r="C75" s="1">
        <v>0.68</v>
      </c>
      <c r="D75" s="1">
        <v>0.97</v>
      </c>
    </row>
    <row r="76" spans="1:4" x14ac:dyDescent="0.2">
      <c r="A76" s="1">
        <v>2003</v>
      </c>
      <c r="B76">
        <f t="shared" si="2"/>
        <v>2.46</v>
      </c>
      <c r="C76" s="5">
        <v>0.26</v>
      </c>
      <c r="D76" s="5">
        <v>2.2000000000000002</v>
      </c>
    </row>
    <row r="77" spans="1:4" x14ac:dyDescent="0.2">
      <c r="A77" s="1">
        <v>2004</v>
      </c>
      <c r="B77">
        <f t="shared" si="2"/>
        <v>3.8899999999999997</v>
      </c>
      <c r="C77" s="1">
        <v>2.23</v>
      </c>
      <c r="D77" s="1">
        <v>1.66</v>
      </c>
    </row>
    <row r="78" spans="1:4" x14ac:dyDescent="0.2">
      <c r="A78" s="1">
        <v>2005</v>
      </c>
      <c r="B78">
        <f t="shared" si="2"/>
        <v>4.25</v>
      </c>
      <c r="C78" s="1">
        <v>0.92</v>
      </c>
      <c r="D78" s="1">
        <v>3.33</v>
      </c>
    </row>
    <row r="79" spans="1:4" x14ac:dyDescent="0.2">
      <c r="A79" s="1">
        <v>2006</v>
      </c>
      <c r="B79">
        <f t="shared" si="2"/>
        <v>8.120000000000001</v>
      </c>
      <c r="C79" s="1">
        <v>3.01</v>
      </c>
      <c r="D79" s="1">
        <v>5.1100000000000003</v>
      </c>
    </row>
    <row r="80" spans="1:4" x14ac:dyDescent="0.2">
      <c r="A80" s="1">
        <v>2007</v>
      </c>
      <c r="B80">
        <f t="shared" si="2"/>
        <v>3.65</v>
      </c>
      <c r="C80" s="1">
        <v>2.25</v>
      </c>
      <c r="D80" s="1">
        <v>1.4</v>
      </c>
    </row>
    <row r="81" spans="1:4" x14ac:dyDescent="0.2">
      <c r="A81" s="1">
        <v>2008</v>
      </c>
      <c r="B81">
        <f t="shared" si="2"/>
        <v>6.09</v>
      </c>
      <c r="C81" s="1">
        <v>2.36</v>
      </c>
      <c r="D81" s="1">
        <v>3.73</v>
      </c>
    </row>
    <row r="82" spans="1:4" x14ac:dyDescent="0.2">
      <c r="A82" s="1">
        <v>2009</v>
      </c>
      <c r="B82">
        <f t="shared" si="2"/>
        <v>4.25</v>
      </c>
      <c r="C82" s="1">
        <v>3.18</v>
      </c>
      <c r="D82" s="1">
        <v>1.07</v>
      </c>
    </row>
    <row r="83" spans="1:4" x14ac:dyDescent="0.2">
      <c r="A83" s="1">
        <v>2010</v>
      </c>
      <c r="B83">
        <f t="shared" si="2"/>
        <v>4.97</v>
      </c>
      <c r="C83" s="1">
        <v>3.9</v>
      </c>
      <c r="D83" s="1">
        <v>1.07</v>
      </c>
    </row>
    <row r="84" spans="1:4" x14ac:dyDescent="0.2">
      <c r="A84" s="1">
        <v>2011</v>
      </c>
      <c r="B84">
        <f t="shared" si="2"/>
        <v>3.88</v>
      </c>
      <c r="C84" s="1">
        <v>1.33</v>
      </c>
      <c r="D84" s="1">
        <v>2.5499999999999998</v>
      </c>
    </row>
    <row r="85" spans="1:4" x14ac:dyDescent="0.2">
      <c r="A85" s="1">
        <v>2012</v>
      </c>
      <c r="B85">
        <f t="shared" si="2"/>
        <v>2.0700000000000003</v>
      </c>
      <c r="C85" s="1">
        <v>1.1100000000000001</v>
      </c>
      <c r="D85" s="1">
        <v>0.96</v>
      </c>
    </row>
    <row r="86" spans="1:4" x14ac:dyDescent="0.2">
      <c r="A86" s="1">
        <v>2013</v>
      </c>
      <c r="B86">
        <f t="shared" si="2"/>
        <v>2.83</v>
      </c>
      <c r="C86" s="1">
        <v>2.2000000000000002</v>
      </c>
      <c r="D86" s="1">
        <v>0.63</v>
      </c>
    </row>
    <row r="87" spans="1:4" x14ac:dyDescent="0.2">
      <c r="A87" s="1">
        <v>2014</v>
      </c>
      <c r="B87">
        <f t="shared" si="2"/>
        <v>6.2900000000000009</v>
      </c>
      <c r="C87" s="1">
        <v>5.48</v>
      </c>
      <c r="D87" s="1">
        <v>0.81</v>
      </c>
    </row>
    <row r="88" spans="1:4" x14ac:dyDescent="0.2">
      <c r="A88" s="1">
        <v>2015</v>
      </c>
      <c r="B88">
        <f t="shared" si="2"/>
        <v>4.93</v>
      </c>
      <c r="C88" s="1">
        <v>3.96</v>
      </c>
      <c r="D88" s="1">
        <v>0.97</v>
      </c>
    </row>
    <row r="89" spans="1:4" x14ac:dyDescent="0.2">
      <c r="A89" s="1">
        <v>2016</v>
      </c>
      <c r="B89">
        <f t="shared" si="2"/>
        <v>4.6900000000000004</v>
      </c>
      <c r="C89" s="1">
        <v>0.49</v>
      </c>
      <c r="D89" s="1">
        <v>4.2</v>
      </c>
    </row>
    <row r="90" spans="1:4" x14ac:dyDescent="0.2">
      <c r="A90" s="1">
        <v>2017</v>
      </c>
      <c r="B90">
        <f t="shared" si="2"/>
        <v>1.9300000000000002</v>
      </c>
      <c r="C90" s="1">
        <v>1</v>
      </c>
      <c r="D90" s="1">
        <v>0.93</v>
      </c>
    </row>
    <row r="91" spans="1:4" x14ac:dyDescent="0.2">
      <c r="A91" s="1">
        <v>2018</v>
      </c>
      <c r="B91">
        <f t="shared" si="2"/>
        <v>3.8499999999999996</v>
      </c>
      <c r="C91" s="1">
        <v>2.2799999999999998</v>
      </c>
      <c r="D91" s="1">
        <v>1.57</v>
      </c>
    </row>
    <row r="92" spans="1:4" x14ac:dyDescent="0.2">
      <c r="A92" s="1">
        <v>2019</v>
      </c>
      <c r="B92">
        <f t="shared" si="2"/>
        <v>3.16</v>
      </c>
      <c r="C92" s="1">
        <v>1.86</v>
      </c>
      <c r="D92" s="1">
        <v>1.3</v>
      </c>
    </row>
    <row r="93" spans="1:4" x14ac:dyDescent="0.2">
      <c r="A93" s="1">
        <v>2020</v>
      </c>
      <c r="B93">
        <f t="shared" si="2"/>
        <v>1.4400000000000002</v>
      </c>
      <c r="C93" s="1">
        <v>1.1200000000000001</v>
      </c>
      <c r="D93" s="1">
        <v>0.32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YRPRECIP</vt:lpstr>
      <vt:lpstr>1932-2004 WY&amp;winter totals</vt:lpstr>
      <vt:lpstr>comparative</vt:lpstr>
      <vt:lpstr>Sheet1</vt:lpstr>
      <vt:lpstr>Sheet3</vt:lpstr>
      <vt:lpstr>Sheet2</vt:lpstr>
      <vt:lpstr>Sheet4</vt:lpstr>
      <vt:lpstr>'1932-2004 WY&amp;winter totals'!Print_Area</vt:lpstr>
      <vt:lpstr>comparative!Print_Area</vt:lpstr>
      <vt:lpstr>YRPRECIP!Print_Area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bandelier national monument</dc:creator>
  <cp:lastModifiedBy>beeley, kay X</cp:lastModifiedBy>
  <cp:lastPrinted>2011-06-15T20:07:06Z</cp:lastPrinted>
  <dcterms:created xsi:type="dcterms:W3CDTF">2002-08-22T23:24:34Z</dcterms:created>
  <dcterms:modified xsi:type="dcterms:W3CDTF">2026-06-04T20:49:05Z</dcterms:modified>
</cp:coreProperties>
</file>