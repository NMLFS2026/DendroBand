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cology\Student_folders_&amp;_files\Maura 2026\Dendro Exploration\"/>
    </mc:Choice>
  </mc:AlternateContent>
  <xr:revisionPtr revIDLastSave="0" documentId="8_{AA8DF2A9-B242-4BFA-AB4B-22F72E6C801E}" xr6:coauthVersionLast="47" xr6:coauthVersionMax="47" xr10:uidLastSave="{00000000-0000-0000-0000-000000000000}"/>
  <bookViews>
    <workbookView xWindow="-120" yWindow="-120" windowWidth="19440" windowHeight="14880" xr2:uid="{EE317929-B60C-4717-BC13-D4E7B46650A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36" i="1" l="1"/>
  <c r="C736" i="1"/>
  <c r="E735" i="1"/>
  <c r="C735" i="1"/>
  <c r="E734" i="1"/>
  <c r="C734" i="1"/>
  <c r="E733" i="1"/>
  <c r="C733" i="1"/>
  <c r="E732" i="1"/>
  <c r="C732" i="1"/>
  <c r="E731" i="1"/>
  <c r="C731" i="1"/>
  <c r="E730" i="1"/>
  <c r="C730" i="1"/>
  <c r="E729" i="1"/>
  <c r="C729" i="1"/>
  <c r="E728" i="1"/>
  <c r="C728" i="1"/>
  <c r="E727" i="1"/>
  <c r="C727" i="1"/>
  <c r="E726" i="1"/>
  <c r="C726" i="1"/>
  <c r="E725" i="1"/>
  <c r="C725" i="1"/>
  <c r="E724" i="1"/>
  <c r="C724" i="1"/>
  <c r="E723" i="1"/>
  <c r="C723" i="1"/>
  <c r="E722" i="1"/>
  <c r="C722" i="1"/>
  <c r="E721" i="1"/>
  <c r="C721" i="1"/>
  <c r="E720" i="1"/>
  <c r="C720" i="1"/>
  <c r="E719" i="1"/>
  <c r="C719" i="1"/>
  <c r="E718" i="1"/>
  <c r="C718" i="1"/>
  <c r="E717" i="1"/>
  <c r="C717" i="1"/>
  <c r="E716" i="1"/>
  <c r="C716" i="1"/>
  <c r="E715" i="1"/>
  <c r="C715" i="1"/>
  <c r="E714" i="1"/>
  <c r="C714" i="1"/>
  <c r="E713" i="1"/>
  <c r="C713" i="1"/>
  <c r="E712" i="1"/>
  <c r="C712" i="1"/>
  <c r="E711" i="1"/>
  <c r="C711" i="1"/>
  <c r="E710" i="1"/>
  <c r="C710" i="1"/>
  <c r="E709" i="1"/>
  <c r="C709" i="1"/>
  <c r="E708" i="1"/>
  <c r="C708" i="1"/>
  <c r="E707" i="1"/>
  <c r="C707" i="1"/>
  <c r="E706" i="1"/>
  <c r="C706" i="1"/>
  <c r="E705" i="1"/>
  <c r="C705" i="1"/>
  <c r="E704" i="1"/>
  <c r="C704" i="1"/>
  <c r="E703" i="1"/>
  <c r="C703" i="1"/>
  <c r="E702" i="1"/>
  <c r="C702" i="1"/>
  <c r="E701" i="1"/>
  <c r="C701" i="1"/>
  <c r="E700" i="1"/>
  <c r="C700" i="1"/>
  <c r="E699" i="1"/>
  <c r="C699" i="1"/>
  <c r="E698" i="1"/>
  <c r="C698" i="1"/>
  <c r="E697" i="1"/>
  <c r="C697" i="1"/>
  <c r="E696" i="1"/>
  <c r="C696" i="1"/>
  <c r="E695" i="1"/>
  <c r="C695" i="1"/>
  <c r="E694" i="1"/>
  <c r="C694" i="1"/>
  <c r="E693" i="1"/>
  <c r="C693" i="1"/>
  <c r="E692" i="1"/>
  <c r="C692" i="1"/>
  <c r="E691" i="1"/>
  <c r="C691" i="1"/>
  <c r="E690" i="1"/>
  <c r="C690" i="1"/>
  <c r="E689" i="1"/>
  <c r="C689" i="1"/>
  <c r="E688" i="1"/>
  <c r="C688" i="1"/>
  <c r="E687" i="1"/>
  <c r="C687" i="1"/>
  <c r="E686" i="1"/>
  <c r="C686" i="1"/>
  <c r="E685" i="1"/>
  <c r="C685" i="1"/>
  <c r="E684" i="1"/>
  <c r="C684" i="1"/>
  <c r="E683" i="1"/>
  <c r="C683" i="1"/>
  <c r="E682" i="1"/>
  <c r="C682" i="1"/>
  <c r="E681" i="1"/>
  <c r="C681" i="1"/>
  <c r="E680" i="1"/>
  <c r="C680" i="1"/>
  <c r="E679" i="1"/>
  <c r="C679" i="1"/>
  <c r="E678" i="1"/>
  <c r="C678" i="1"/>
  <c r="E677" i="1"/>
  <c r="C677" i="1"/>
  <c r="E676" i="1"/>
  <c r="C676" i="1"/>
  <c r="E675" i="1"/>
  <c r="C675" i="1"/>
  <c r="E674" i="1"/>
  <c r="C674" i="1"/>
  <c r="E673" i="1"/>
  <c r="C673" i="1"/>
  <c r="E672" i="1"/>
  <c r="C672" i="1"/>
  <c r="E671" i="1"/>
  <c r="C671" i="1"/>
  <c r="E670" i="1"/>
  <c r="C670" i="1"/>
  <c r="E669" i="1"/>
  <c r="C669" i="1"/>
  <c r="E668" i="1"/>
  <c r="C668" i="1"/>
  <c r="E667" i="1"/>
  <c r="C667" i="1"/>
  <c r="E666" i="1"/>
  <c r="C666" i="1"/>
  <c r="E665" i="1"/>
  <c r="C665" i="1"/>
  <c r="E664" i="1"/>
  <c r="C664" i="1"/>
  <c r="E663" i="1"/>
  <c r="C663" i="1"/>
  <c r="E662" i="1"/>
  <c r="C662" i="1"/>
  <c r="E661" i="1"/>
  <c r="C661" i="1"/>
  <c r="E660" i="1"/>
  <c r="C660" i="1"/>
  <c r="E659" i="1"/>
  <c r="C659" i="1"/>
  <c r="E658" i="1"/>
  <c r="C658" i="1"/>
  <c r="E657" i="1"/>
  <c r="C657" i="1"/>
  <c r="E656" i="1"/>
  <c r="C656" i="1"/>
  <c r="E655" i="1"/>
  <c r="C655" i="1"/>
  <c r="E654" i="1"/>
  <c r="C654" i="1"/>
  <c r="E653" i="1"/>
  <c r="C653" i="1"/>
  <c r="E652" i="1"/>
  <c r="C652" i="1"/>
  <c r="E651" i="1"/>
  <c r="C651" i="1"/>
  <c r="E650" i="1"/>
  <c r="C650" i="1"/>
  <c r="E649" i="1"/>
  <c r="C649" i="1"/>
  <c r="E648" i="1"/>
  <c r="C648" i="1"/>
  <c r="E647" i="1"/>
  <c r="C647" i="1"/>
  <c r="E646" i="1"/>
  <c r="C646" i="1"/>
  <c r="E645" i="1"/>
  <c r="C645" i="1"/>
  <c r="E644" i="1"/>
  <c r="C644" i="1"/>
  <c r="E643" i="1"/>
  <c r="C643" i="1"/>
  <c r="E642" i="1"/>
  <c r="C642" i="1"/>
  <c r="E641" i="1"/>
  <c r="C641" i="1"/>
  <c r="E640" i="1"/>
  <c r="C640" i="1"/>
  <c r="E639" i="1"/>
  <c r="C639" i="1"/>
  <c r="E638" i="1"/>
  <c r="C638" i="1"/>
  <c r="E637" i="1"/>
  <c r="C637" i="1"/>
  <c r="E636" i="1"/>
  <c r="C636" i="1"/>
  <c r="E635" i="1"/>
  <c r="C635" i="1"/>
  <c r="E634" i="1"/>
  <c r="C634" i="1"/>
  <c r="E633" i="1"/>
  <c r="C633" i="1"/>
  <c r="E632" i="1"/>
  <c r="C632" i="1"/>
  <c r="E631" i="1"/>
  <c r="C631" i="1"/>
  <c r="E630" i="1"/>
  <c r="C630" i="1"/>
  <c r="E629" i="1"/>
  <c r="C629" i="1"/>
  <c r="E628" i="1"/>
  <c r="C628" i="1"/>
  <c r="E627" i="1"/>
  <c r="C627" i="1"/>
  <c r="E626" i="1"/>
  <c r="C626" i="1"/>
  <c r="E625" i="1"/>
  <c r="C625" i="1"/>
  <c r="E624" i="1"/>
  <c r="C624" i="1"/>
  <c r="E623" i="1"/>
  <c r="C623" i="1"/>
  <c r="E622" i="1"/>
  <c r="C622" i="1"/>
  <c r="E621" i="1"/>
  <c r="C621" i="1"/>
  <c r="E620" i="1"/>
  <c r="C620" i="1"/>
  <c r="E619" i="1"/>
  <c r="C619" i="1"/>
  <c r="E618" i="1"/>
  <c r="C618" i="1"/>
  <c r="E617" i="1"/>
  <c r="C617" i="1"/>
  <c r="E616" i="1"/>
  <c r="C616" i="1"/>
  <c r="E615" i="1"/>
  <c r="C615" i="1"/>
  <c r="E614" i="1"/>
  <c r="C614" i="1"/>
  <c r="E613" i="1"/>
  <c r="C613" i="1"/>
  <c r="E612" i="1"/>
  <c r="C612" i="1"/>
  <c r="E611" i="1"/>
  <c r="C611" i="1"/>
  <c r="E610" i="1"/>
  <c r="C610" i="1"/>
  <c r="E609" i="1"/>
  <c r="C609" i="1"/>
  <c r="E608" i="1"/>
  <c r="C608" i="1"/>
  <c r="E607" i="1"/>
  <c r="C607" i="1"/>
  <c r="E606" i="1"/>
  <c r="C606" i="1"/>
  <c r="E605" i="1"/>
  <c r="C605" i="1"/>
  <c r="E604" i="1"/>
  <c r="C604" i="1"/>
  <c r="E603" i="1"/>
  <c r="C603" i="1"/>
  <c r="E602" i="1"/>
  <c r="C602" i="1"/>
  <c r="E601" i="1"/>
  <c r="C601" i="1"/>
  <c r="E600" i="1"/>
  <c r="C600" i="1"/>
  <c r="E599" i="1"/>
  <c r="C599" i="1"/>
  <c r="E598" i="1"/>
  <c r="C598" i="1"/>
  <c r="E597" i="1"/>
  <c r="C597" i="1"/>
  <c r="E596" i="1"/>
  <c r="C596" i="1"/>
  <c r="E595" i="1"/>
  <c r="C595" i="1"/>
  <c r="E594" i="1"/>
  <c r="C594" i="1"/>
  <c r="E593" i="1"/>
  <c r="C593" i="1"/>
  <c r="E592" i="1"/>
  <c r="C592" i="1"/>
  <c r="E591" i="1"/>
  <c r="C591" i="1"/>
  <c r="E590" i="1"/>
  <c r="C590" i="1"/>
  <c r="E589" i="1"/>
  <c r="C589" i="1"/>
  <c r="E588" i="1"/>
  <c r="C588" i="1"/>
  <c r="E587" i="1"/>
  <c r="C587" i="1"/>
  <c r="E586" i="1"/>
  <c r="C586" i="1"/>
  <c r="E585" i="1"/>
  <c r="C585" i="1"/>
  <c r="E584" i="1"/>
  <c r="C584" i="1"/>
  <c r="E583" i="1"/>
  <c r="C583" i="1"/>
  <c r="E582" i="1"/>
  <c r="C582" i="1"/>
  <c r="E581" i="1"/>
  <c r="C581" i="1"/>
  <c r="E580" i="1"/>
  <c r="C580" i="1"/>
  <c r="E579" i="1"/>
  <c r="C579" i="1"/>
  <c r="E578" i="1"/>
  <c r="C578" i="1"/>
  <c r="E577" i="1"/>
  <c r="C577" i="1"/>
  <c r="E576" i="1"/>
  <c r="C576" i="1"/>
  <c r="E575" i="1"/>
  <c r="C575" i="1"/>
  <c r="E574" i="1"/>
  <c r="C574" i="1"/>
  <c r="E573" i="1"/>
  <c r="C573" i="1"/>
  <c r="E572" i="1"/>
  <c r="C572" i="1"/>
  <c r="E571" i="1"/>
  <c r="C571" i="1"/>
  <c r="E570" i="1"/>
  <c r="C570" i="1"/>
  <c r="E569" i="1"/>
  <c r="C569" i="1"/>
  <c r="E568" i="1"/>
  <c r="C568" i="1"/>
  <c r="E567" i="1"/>
  <c r="C567" i="1"/>
  <c r="E566" i="1"/>
  <c r="C566" i="1"/>
  <c r="E565" i="1"/>
  <c r="C565" i="1"/>
  <c r="E564" i="1"/>
  <c r="C564" i="1"/>
  <c r="E563" i="1"/>
  <c r="C563" i="1"/>
  <c r="E562" i="1"/>
  <c r="C562" i="1"/>
  <c r="E561" i="1"/>
  <c r="C561" i="1"/>
  <c r="E560" i="1"/>
  <c r="C560" i="1"/>
  <c r="E559" i="1"/>
  <c r="C559" i="1"/>
  <c r="E558" i="1"/>
  <c r="C558" i="1"/>
  <c r="E557" i="1"/>
  <c r="C557" i="1"/>
  <c r="E556" i="1"/>
  <c r="C556" i="1"/>
  <c r="E555" i="1"/>
  <c r="C555" i="1"/>
  <c r="E554" i="1"/>
  <c r="C554" i="1"/>
  <c r="E553" i="1"/>
  <c r="C553" i="1"/>
  <c r="E552" i="1"/>
  <c r="C552" i="1"/>
  <c r="E551" i="1"/>
  <c r="C551" i="1"/>
  <c r="E550" i="1"/>
  <c r="C550" i="1"/>
  <c r="E549" i="1"/>
  <c r="C549" i="1"/>
  <c r="E548" i="1"/>
  <c r="C548" i="1"/>
  <c r="E547" i="1"/>
  <c r="C547" i="1"/>
  <c r="E546" i="1"/>
  <c r="C546" i="1"/>
  <c r="E545" i="1"/>
  <c r="C545" i="1"/>
  <c r="E544" i="1"/>
  <c r="C544" i="1"/>
  <c r="E543" i="1"/>
  <c r="C543" i="1"/>
  <c r="E542" i="1"/>
  <c r="C542" i="1"/>
  <c r="E541" i="1"/>
  <c r="C541" i="1"/>
  <c r="E540" i="1"/>
  <c r="C540" i="1"/>
  <c r="E539" i="1"/>
  <c r="C539" i="1"/>
  <c r="E538" i="1"/>
  <c r="C538" i="1"/>
  <c r="E537" i="1"/>
  <c r="C537" i="1"/>
  <c r="E536" i="1"/>
  <c r="C536" i="1"/>
  <c r="E535" i="1"/>
  <c r="C535" i="1"/>
  <c r="E534" i="1"/>
  <c r="C534" i="1"/>
  <c r="E533" i="1"/>
  <c r="C533" i="1"/>
  <c r="E532" i="1"/>
  <c r="C532" i="1"/>
  <c r="E531" i="1"/>
  <c r="C531" i="1"/>
  <c r="E530" i="1"/>
  <c r="C530" i="1"/>
  <c r="E529" i="1"/>
  <c r="C529" i="1"/>
  <c r="E528" i="1"/>
  <c r="C528" i="1"/>
  <c r="E527" i="1"/>
  <c r="C527" i="1"/>
  <c r="E526" i="1"/>
  <c r="C526" i="1"/>
  <c r="E525" i="1"/>
  <c r="C525" i="1"/>
  <c r="E524" i="1"/>
  <c r="C524" i="1"/>
  <c r="E523" i="1"/>
  <c r="C523" i="1"/>
  <c r="E522" i="1"/>
  <c r="C522" i="1"/>
  <c r="E521" i="1"/>
  <c r="C521" i="1"/>
  <c r="E520" i="1"/>
  <c r="C520" i="1"/>
  <c r="E519" i="1"/>
  <c r="C519" i="1"/>
  <c r="E518" i="1"/>
  <c r="C518" i="1"/>
  <c r="E517" i="1"/>
  <c r="C517" i="1"/>
  <c r="E516" i="1"/>
  <c r="C516" i="1"/>
  <c r="E515" i="1"/>
  <c r="C515" i="1"/>
  <c r="E514" i="1"/>
  <c r="C514" i="1"/>
  <c r="E513" i="1"/>
  <c r="C513" i="1"/>
  <c r="E512" i="1"/>
  <c r="C512" i="1"/>
  <c r="E511" i="1"/>
  <c r="C511" i="1"/>
  <c r="E510" i="1"/>
  <c r="C510" i="1"/>
  <c r="E509" i="1"/>
  <c r="C509" i="1"/>
  <c r="E508" i="1"/>
  <c r="C508" i="1"/>
  <c r="E507" i="1"/>
  <c r="C507" i="1"/>
  <c r="E506" i="1"/>
  <c r="C506" i="1"/>
  <c r="E505" i="1"/>
  <c r="C505" i="1"/>
  <c r="E504" i="1"/>
  <c r="C504" i="1"/>
  <c r="E503" i="1"/>
  <c r="C503" i="1"/>
  <c r="E502" i="1"/>
  <c r="C502" i="1"/>
  <c r="E501" i="1"/>
  <c r="C501" i="1"/>
  <c r="E500" i="1"/>
  <c r="C500" i="1"/>
  <c r="E499" i="1"/>
  <c r="C499" i="1"/>
  <c r="E498" i="1"/>
  <c r="C498" i="1"/>
  <c r="E497" i="1"/>
  <c r="C497" i="1"/>
  <c r="E496" i="1"/>
  <c r="C496" i="1"/>
  <c r="E495" i="1"/>
  <c r="C495" i="1"/>
  <c r="E494" i="1"/>
  <c r="C494" i="1"/>
  <c r="E493" i="1"/>
  <c r="C493" i="1"/>
  <c r="E492" i="1"/>
  <c r="C492" i="1"/>
  <c r="E491" i="1"/>
  <c r="C491" i="1"/>
  <c r="E490" i="1"/>
  <c r="C490" i="1"/>
  <c r="E489" i="1"/>
  <c r="C489" i="1"/>
  <c r="E488" i="1"/>
  <c r="C488" i="1"/>
  <c r="E487" i="1"/>
  <c r="C487" i="1"/>
  <c r="E486" i="1"/>
  <c r="C486" i="1"/>
  <c r="E485" i="1"/>
  <c r="C485" i="1"/>
  <c r="E484" i="1"/>
  <c r="C484" i="1"/>
  <c r="E483" i="1"/>
  <c r="C483" i="1"/>
  <c r="E482" i="1"/>
  <c r="C482" i="1"/>
  <c r="E481" i="1"/>
  <c r="C481" i="1"/>
  <c r="E480" i="1"/>
  <c r="C480" i="1"/>
  <c r="E479" i="1"/>
  <c r="C479" i="1"/>
  <c r="E478" i="1"/>
  <c r="C478" i="1"/>
  <c r="E477" i="1"/>
  <c r="C477" i="1"/>
  <c r="E476" i="1"/>
  <c r="C476" i="1"/>
  <c r="E475" i="1"/>
  <c r="C475" i="1"/>
  <c r="E474" i="1"/>
  <c r="C474" i="1"/>
  <c r="E473" i="1"/>
  <c r="C473" i="1"/>
  <c r="E472" i="1"/>
  <c r="C472" i="1"/>
  <c r="E471" i="1"/>
  <c r="C471" i="1"/>
  <c r="E470" i="1"/>
  <c r="C470" i="1"/>
  <c r="E469" i="1"/>
  <c r="C469" i="1"/>
  <c r="E468" i="1"/>
  <c r="C468" i="1"/>
  <c r="E467" i="1"/>
  <c r="C467" i="1"/>
  <c r="E466" i="1"/>
  <c r="C466" i="1"/>
  <c r="E465" i="1"/>
  <c r="C465" i="1"/>
  <c r="E464" i="1"/>
  <c r="C464" i="1"/>
  <c r="E463" i="1"/>
  <c r="C463" i="1"/>
  <c r="E462" i="1"/>
  <c r="C462" i="1"/>
  <c r="E461" i="1"/>
  <c r="C461" i="1"/>
  <c r="E460" i="1"/>
  <c r="C460" i="1"/>
  <c r="E459" i="1"/>
  <c r="C459" i="1"/>
  <c r="E458" i="1"/>
  <c r="C458" i="1"/>
  <c r="E457" i="1"/>
  <c r="C457" i="1"/>
  <c r="E456" i="1"/>
  <c r="C456" i="1"/>
  <c r="E455" i="1"/>
  <c r="C455" i="1"/>
  <c r="E454" i="1"/>
  <c r="C454" i="1"/>
  <c r="E453" i="1"/>
  <c r="C453" i="1"/>
  <c r="E452" i="1"/>
  <c r="C452" i="1"/>
  <c r="E451" i="1"/>
  <c r="C451" i="1"/>
  <c r="E450" i="1"/>
  <c r="C450" i="1"/>
  <c r="E449" i="1"/>
  <c r="C449" i="1"/>
  <c r="E448" i="1"/>
  <c r="C448" i="1"/>
  <c r="E447" i="1"/>
  <c r="C447" i="1"/>
  <c r="E446" i="1"/>
  <c r="C446" i="1"/>
  <c r="E445" i="1"/>
  <c r="C445" i="1"/>
  <c r="E444" i="1"/>
  <c r="C444" i="1"/>
  <c r="E443" i="1"/>
  <c r="C443" i="1"/>
  <c r="E442" i="1"/>
  <c r="C442" i="1"/>
  <c r="E441" i="1"/>
  <c r="C441" i="1"/>
  <c r="E440" i="1"/>
  <c r="C440" i="1"/>
  <c r="E439" i="1"/>
  <c r="C439" i="1"/>
  <c r="E438" i="1"/>
  <c r="C438" i="1"/>
  <c r="E437" i="1"/>
  <c r="C437" i="1"/>
  <c r="E436" i="1"/>
  <c r="C436" i="1"/>
  <c r="E435" i="1"/>
  <c r="C435" i="1"/>
  <c r="E434" i="1"/>
  <c r="C434" i="1"/>
  <c r="E433" i="1"/>
  <c r="C433" i="1"/>
  <c r="E432" i="1"/>
  <c r="C432" i="1"/>
  <c r="E431" i="1"/>
  <c r="C431" i="1"/>
  <c r="E430" i="1"/>
  <c r="C430" i="1"/>
  <c r="E429" i="1"/>
  <c r="C429" i="1"/>
  <c r="E428" i="1"/>
  <c r="C428" i="1"/>
  <c r="E427" i="1"/>
  <c r="C427" i="1"/>
  <c r="E426" i="1"/>
  <c r="C426" i="1"/>
  <c r="E425" i="1"/>
  <c r="C425" i="1"/>
  <c r="E424" i="1"/>
  <c r="C424" i="1"/>
  <c r="E423" i="1"/>
  <c r="C423" i="1"/>
  <c r="E422" i="1"/>
  <c r="C422" i="1"/>
  <c r="E421" i="1"/>
  <c r="C421" i="1"/>
  <c r="E420" i="1"/>
  <c r="C420" i="1"/>
  <c r="E419" i="1"/>
  <c r="C419" i="1"/>
  <c r="E418" i="1"/>
  <c r="C418" i="1"/>
  <c r="E417" i="1"/>
  <c r="C417" i="1"/>
  <c r="E416" i="1"/>
  <c r="C416" i="1"/>
  <c r="E415" i="1"/>
  <c r="C415" i="1"/>
  <c r="E414" i="1"/>
  <c r="C414" i="1"/>
  <c r="E413" i="1"/>
  <c r="C413" i="1"/>
  <c r="E412" i="1"/>
  <c r="C412" i="1"/>
  <c r="E411" i="1"/>
  <c r="C411" i="1"/>
  <c r="E410" i="1"/>
  <c r="C410" i="1"/>
  <c r="E409" i="1"/>
  <c r="C409" i="1"/>
  <c r="E408" i="1"/>
  <c r="C408" i="1"/>
  <c r="E407" i="1"/>
  <c r="C407" i="1"/>
  <c r="E406" i="1"/>
  <c r="C406" i="1"/>
  <c r="E405" i="1"/>
  <c r="C405" i="1"/>
  <c r="E404" i="1"/>
  <c r="C404" i="1"/>
  <c r="E403" i="1"/>
  <c r="C403" i="1"/>
  <c r="E402" i="1"/>
  <c r="C402" i="1"/>
  <c r="E401" i="1"/>
  <c r="C401" i="1"/>
  <c r="E400" i="1"/>
  <c r="C400" i="1"/>
  <c r="E399" i="1"/>
  <c r="C399" i="1"/>
  <c r="E398" i="1"/>
  <c r="C398" i="1"/>
  <c r="E397" i="1"/>
  <c r="C397" i="1"/>
  <c r="E396" i="1"/>
  <c r="C396" i="1"/>
  <c r="E395" i="1"/>
  <c r="C395" i="1"/>
  <c r="E394" i="1"/>
  <c r="C394" i="1"/>
  <c r="E393" i="1"/>
  <c r="C393" i="1"/>
  <c r="E392" i="1"/>
  <c r="C392" i="1"/>
  <c r="E391" i="1"/>
  <c r="C391" i="1"/>
  <c r="E390" i="1"/>
  <c r="C390" i="1"/>
  <c r="E389" i="1"/>
  <c r="C389" i="1"/>
  <c r="E388" i="1"/>
  <c r="C388" i="1"/>
  <c r="E387" i="1"/>
  <c r="C387" i="1"/>
  <c r="E386" i="1"/>
  <c r="C386" i="1"/>
  <c r="E385" i="1"/>
  <c r="C385" i="1"/>
  <c r="E384" i="1"/>
  <c r="C384" i="1"/>
  <c r="E383" i="1"/>
  <c r="C383" i="1"/>
  <c r="E382" i="1"/>
  <c r="C382" i="1"/>
  <c r="E381" i="1"/>
  <c r="C381" i="1"/>
  <c r="E380" i="1"/>
  <c r="C380" i="1"/>
  <c r="E379" i="1"/>
  <c r="C379" i="1"/>
  <c r="E378" i="1"/>
  <c r="C378" i="1"/>
  <c r="E377" i="1"/>
  <c r="C377" i="1"/>
  <c r="E376" i="1"/>
  <c r="C376" i="1"/>
  <c r="E375" i="1"/>
  <c r="C375" i="1"/>
  <c r="E374" i="1"/>
  <c r="C374" i="1"/>
  <c r="E373" i="1"/>
  <c r="C373" i="1"/>
  <c r="E372" i="1"/>
  <c r="C372" i="1"/>
  <c r="E371" i="1"/>
  <c r="C371" i="1"/>
  <c r="E370" i="1"/>
  <c r="C370" i="1"/>
  <c r="E369" i="1"/>
  <c r="C369" i="1"/>
  <c r="E368" i="1"/>
  <c r="C368" i="1"/>
  <c r="E367" i="1"/>
  <c r="C367" i="1"/>
  <c r="E366" i="1"/>
  <c r="C366" i="1"/>
  <c r="E365" i="1"/>
  <c r="C365" i="1"/>
  <c r="E364" i="1"/>
  <c r="C364" i="1"/>
  <c r="E363" i="1"/>
  <c r="C363" i="1"/>
  <c r="E362" i="1"/>
  <c r="C362" i="1"/>
  <c r="E361" i="1"/>
  <c r="C361" i="1"/>
  <c r="E360" i="1"/>
  <c r="C360" i="1"/>
  <c r="E359" i="1"/>
  <c r="C359" i="1"/>
  <c r="E358" i="1"/>
  <c r="C358" i="1"/>
  <c r="E357" i="1"/>
  <c r="C357" i="1"/>
  <c r="E356" i="1"/>
  <c r="C356" i="1"/>
  <c r="E355" i="1"/>
  <c r="C355" i="1"/>
  <c r="E354" i="1"/>
  <c r="C354" i="1"/>
  <c r="E353" i="1"/>
  <c r="C353" i="1"/>
  <c r="E352" i="1"/>
  <c r="C352" i="1"/>
  <c r="E351" i="1"/>
  <c r="C351" i="1"/>
  <c r="E350" i="1"/>
  <c r="C350" i="1"/>
  <c r="E349" i="1"/>
  <c r="C349" i="1"/>
  <c r="E348" i="1"/>
  <c r="C348" i="1"/>
  <c r="E347" i="1"/>
  <c r="C347" i="1"/>
  <c r="E346" i="1"/>
  <c r="C346" i="1"/>
  <c r="E345" i="1"/>
  <c r="C345" i="1"/>
  <c r="E344" i="1"/>
  <c r="C344" i="1"/>
  <c r="E343" i="1"/>
  <c r="C343" i="1"/>
  <c r="E342" i="1"/>
  <c r="C342" i="1"/>
  <c r="E341" i="1"/>
  <c r="C341" i="1"/>
  <c r="E340" i="1"/>
  <c r="C340" i="1"/>
  <c r="E339" i="1"/>
  <c r="C339" i="1"/>
  <c r="E338" i="1"/>
  <c r="C338" i="1"/>
  <c r="E337" i="1"/>
  <c r="C337" i="1"/>
  <c r="E336" i="1"/>
  <c r="C336" i="1"/>
  <c r="E335" i="1"/>
  <c r="C335" i="1"/>
  <c r="E334" i="1"/>
  <c r="C334" i="1"/>
  <c r="E333" i="1"/>
  <c r="C333" i="1"/>
  <c r="E332" i="1"/>
  <c r="C332" i="1"/>
  <c r="E331" i="1"/>
  <c r="C331" i="1"/>
  <c r="E330" i="1"/>
  <c r="C330" i="1"/>
  <c r="E329" i="1"/>
  <c r="C329" i="1"/>
  <c r="E328" i="1"/>
  <c r="C328" i="1"/>
  <c r="E327" i="1"/>
  <c r="C327" i="1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4" i="1"/>
  <c r="C294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D264" i="1"/>
  <c r="C264" i="1"/>
  <c r="B264" i="1"/>
  <c r="A264" i="1"/>
  <c r="D263" i="1"/>
  <c r="E263" i="1" s="1"/>
  <c r="C263" i="1"/>
  <c r="B263" i="1"/>
  <c r="A263" i="1"/>
  <c r="D262" i="1"/>
  <c r="E262" i="1" s="1"/>
  <c r="B262" i="1"/>
  <c r="A262" i="1"/>
  <c r="C262" i="1" s="1"/>
  <c r="D261" i="1"/>
  <c r="E261" i="1" s="1"/>
  <c r="C261" i="1"/>
  <c r="B261" i="1"/>
  <c r="A261" i="1"/>
  <c r="D260" i="1"/>
  <c r="C260" i="1"/>
  <c r="B260" i="1"/>
  <c r="A260" i="1"/>
  <c r="D259" i="1"/>
  <c r="E260" i="1" s="1"/>
  <c r="B259" i="1"/>
  <c r="A259" i="1"/>
  <c r="C259" i="1" s="1"/>
  <c r="D258" i="1"/>
  <c r="B258" i="1"/>
  <c r="A258" i="1"/>
  <c r="C258" i="1" s="1"/>
  <c r="D257" i="1"/>
  <c r="B257" i="1"/>
  <c r="A257" i="1"/>
  <c r="C257" i="1" s="1"/>
  <c r="D256" i="1"/>
  <c r="E256" i="1" s="1"/>
  <c r="B256" i="1"/>
  <c r="A256" i="1"/>
  <c r="C256" i="1" s="1"/>
  <c r="D255" i="1"/>
  <c r="E255" i="1" s="1"/>
  <c r="B255" i="1"/>
  <c r="A255" i="1"/>
  <c r="C255" i="1" s="1"/>
  <c r="D254" i="1"/>
  <c r="E254" i="1" s="1"/>
  <c r="B254" i="1"/>
  <c r="A254" i="1"/>
  <c r="C254" i="1" s="1"/>
  <c r="D253" i="1"/>
  <c r="E253" i="1" s="1"/>
  <c r="B253" i="1"/>
  <c r="A253" i="1"/>
  <c r="C253" i="1" s="1"/>
  <c r="D252" i="1"/>
  <c r="E252" i="1" s="1"/>
  <c r="B252" i="1"/>
  <c r="A252" i="1"/>
  <c r="C252" i="1" s="1"/>
  <c r="D251" i="1"/>
  <c r="E251" i="1" s="1"/>
  <c r="B251" i="1"/>
  <c r="A251" i="1"/>
  <c r="C251" i="1" s="1"/>
  <c r="D250" i="1"/>
  <c r="E250" i="1" s="1"/>
  <c r="B250" i="1"/>
  <c r="A250" i="1"/>
  <c r="C250" i="1" s="1"/>
  <c r="D249" i="1"/>
  <c r="E249" i="1" s="1"/>
  <c r="C249" i="1"/>
  <c r="B249" i="1"/>
  <c r="A249" i="1"/>
  <c r="E248" i="1"/>
  <c r="D248" i="1"/>
  <c r="B248" i="1"/>
  <c r="A248" i="1"/>
  <c r="C248" i="1" s="1"/>
  <c r="D247" i="1"/>
  <c r="E247" i="1" s="1"/>
  <c r="B247" i="1"/>
  <c r="A247" i="1"/>
  <c r="C247" i="1" s="1"/>
  <c r="E246" i="1"/>
  <c r="D246" i="1"/>
  <c r="B246" i="1"/>
  <c r="A246" i="1"/>
  <c r="C246" i="1" s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F3" i="1" s="1"/>
  <c r="G3" i="1" s="1"/>
  <c r="H3" i="1" s="1"/>
  <c r="C3" i="1"/>
  <c r="Q2" i="1"/>
  <c r="P2" i="1"/>
  <c r="C2" i="1"/>
  <c r="K3" i="1" l="1"/>
  <c r="J3" i="1"/>
  <c r="I3" i="1"/>
  <c r="F4" i="1"/>
  <c r="E257" i="1"/>
  <c r="E258" i="1"/>
  <c r="E259" i="1"/>
  <c r="E264" i="1"/>
  <c r="L3" i="1" l="1"/>
  <c r="M3" i="1"/>
  <c r="F5" i="1"/>
  <c r="G4" i="1"/>
  <c r="H4" i="1" s="1"/>
  <c r="K4" i="1" l="1"/>
  <c r="J4" i="1"/>
  <c r="I4" i="1"/>
  <c r="G5" i="1"/>
  <c r="H5" i="1" s="1"/>
  <c r="F6" i="1"/>
  <c r="G6" i="1" l="1"/>
  <c r="H6" i="1" s="1"/>
  <c r="F7" i="1"/>
  <c r="M4" i="1"/>
  <c r="L4" i="1"/>
  <c r="K5" i="1"/>
  <c r="J5" i="1"/>
  <c r="I5" i="1"/>
  <c r="M5" i="1" l="1"/>
  <c r="L5" i="1"/>
  <c r="G7" i="1"/>
  <c r="H7" i="1" s="1"/>
  <c r="F8" i="1"/>
  <c r="I6" i="1"/>
  <c r="K6" i="1"/>
  <c r="J6" i="1"/>
  <c r="M6" i="1" l="1"/>
  <c r="L6" i="1"/>
  <c r="G8" i="1"/>
  <c r="H8" i="1" s="1"/>
  <c r="F9" i="1"/>
  <c r="K7" i="1"/>
  <c r="I7" i="1"/>
  <c r="J7" i="1"/>
  <c r="G9" i="1" l="1"/>
  <c r="H9" i="1" s="1"/>
  <c r="F10" i="1"/>
  <c r="M7" i="1"/>
  <c r="L7" i="1"/>
  <c r="J8" i="1"/>
  <c r="I8" i="1"/>
  <c r="K8" i="1"/>
  <c r="M8" i="1" l="1"/>
  <c r="L8" i="1"/>
  <c r="G10" i="1"/>
  <c r="H10" i="1" s="1"/>
  <c r="F11" i="1"/>
  <c r="K9" i="1"/>
  <c r="J9" i="1"/>
  <c r="I9" i="1"/>
  <c r="L9" i="1" l="1"/>
  <c r="M9" i="1"/>
  <c r="G11" i="1"/>
  <c r="H11" i="1" s="1"/>
  <c r="F12" i="1"/>
  <c r="K10" i="1"/>
  <c r="J10" i="1"/>
  <c r="I10" i="1"/>
  <c r="M10" i="1" l="1"/>
  <c r="L10" i="1"/>
  <c r="G12" i="1"/>
  <c r="H12" i="1" s="1"/>
  <c r="F13" i="1"/>
  <c r="K11" i="1"/>
  <c r="I11" i="1"/>
  <c r="J11" i="1"/>
  <c r="I12" i="1" l="1"/>
  <c r="K12" i="1"/>
  <c r="J12" i="1"/>
  <c r="M11" i="1"/>
  <c r="L11" i="1"/>
  <c r="G13" i="1"/>
  <c r="H13" i="1" s="1"/>
  <c r="F14" i="1"/>
  <c r="M12" i="1" l="1"/>
  <c r="L12" i="1"/>
  <c r="K13" i="1"/>
  <c r="J13" i="1"/>
  <c r="I13" i="1"/>
  <c r="G14" i="1"/>
  <c r="H14" i="1" s="1"/>
  <c r="F15" i="1"/>
  <c r="G15" i="1" l="1"/>
  <c r="H15" i="1" s="1"/>
  <c r="F16" i="1"/>
  <c r="J14" i="1"/>
  <c r="I14" i="1"/>
  <c r="K14" i="1"/>
  <c r="M13" i="1"/>
  <c r="L13" i="1"/>
  <c r="M14" i="1" l="1"/>
  <c r="L14" i="1"/>
  <c r="F17" i="1"/>
  <c r="G16" i="1"/>
  <c r="H16" i="1" s="1"/>
  <c r="K15" i="1"/>
  <c r="J15" i="1"/>
  <c r="I15" i="1"/>
  <c r="G17" i="1" l="1"/>
  <c r="H17" i="1" s="1"/>
  <c r="F18" i="1"/>
  <c r="L15" i="1"/>
  <c r="M15" i="1"/>
  <c r="K16" i="1"/>
  <c r="J16" i="1"/>
  <c r="I16" i="1"/>
  <c r="M16" i="1" l="1"/>
  <c r="L16" i="1"/>
  <c r="G18" i="1"/>
  <c r="H18" i="1" s="1"/>
  <c r="F19" i="1"/>
  <c r="K17" i="1"/>
  <c r="I17" i="1"/>
  <c r="J17" i="1"/>
  <c r="M17" i="1" l="1"/>
  <c r="L17" i="1"/>
  <c r="G19" i="1"/>
  <c r="H19" i="1" s="1"/>
  <c r="F20" i="1"/>
  <c r="I18" i="1"/>
  <c r="K18" i="1"/>
  <c r="J18" i="1"/>
  <c r="M18" i="1" l="1"/>
  <c r="L18" i="1"/>
  <c r="G20" i="1"/>
  <c r="H20" i="1" s="1"/>
  <c r="F21" i="1"/>
  <c r="K19" i="1"/>
  <c r="J19" i="1"/>
  <c r="I19" i="1"/>
  <c r="L19" i="1" l="1"/>
  <c r="M19" i="1"/>
  <c r="G21" i="1"/>
  <c r="H21" i="1" s="1"/>
  <c r="F22" i="1"/>
  <c r="J20" i="1"/>
  <c r="I20" i="1"/>
  <c r="K20" i="1"/>
  <c r="K21" i="1" l="1"/>
  <c r="J21" i="1"/>
  <c r="I21" i="1"/>
  <c r="M20" i="1"/>
  <c r="L20" i="1"/>
  <c r="F23" i="1"/>
  <c r="G22" i="1"/>
  <c r="H22" i="1" s="1"/>
  <c r="L21" i="1" l="1"/>
  <c r="M21" i="1"/>
  <c r="K22" i="1"/>
  <c r="J22" i="1"/>
  <c r="I22" i="1"/>
  <c r="G23" i="1"/>
  <c r="H23" i="1" s="1"/>
  <c r="F24" i="1"/>
  <c r="K23" i="1" l="1"/>
  <c r="J23" i="1"/>
  <c r="I23" i="1"/>
  <c r="G24" i="1"/>
  <c r="H24" i="1" s="1"/>
  <c r="F25" i="1"/>
  <c r="M22" i="1"/>
  <c r="L22" i="1"/>
  <c r="M23" i="1" l="1"/>
  <c r="L23" i="1"/>
  <c r="G25" i="1"/>
  <c r="H25" i="1" s="1"/>
  <c r="F26" i="1"/>
  <c r="I24" i="1"/>
  <c r="K24" i="1"/>
  <c r="J24" i="1"/>
  <c r="M24" i="1" l="1"/>
  <c r="L24" i="1"/>
  <c r="G26" i="1"/>
  <c r="H26" i="1" s="1"/>
  <c r="F27" i="1"/>
  <c r="K25" i="1"/>
  <c r="J25" i="1"/>
  <c r="I25" i="1"/>
  <c r="M25" i="1" l="1"/>
  <c r="L25" i="1"/>
  <c r="G27" i="1"/>
  <c r="H27" i="1" s="1"/>
  <c r="F28" i="1"/>
  <c r="J26" i="1"/>
  <c r="I26" i="1"/>
  <c r="K26" i="1"/>
  <c r="M26" i="1" l="1"/>
  <c r="L26" i="1"/>
  <c r="G28" i="1"/>
  <c r="H28" i="1" s="1"/>
  <c r="F29" i="1"/>
  <c r="K27" i="1"/>
  <c r="J27" i="1"/>
  <c r="I27" i="1"/>
  <c r="L27" i="1" l="1"/>
  <c r="M27" i="1"/>
  <c r="G29" i="1"/>
  <c r="H29" i="1" s="1"/>
  <c r="F30" i="1"/>
  <c r="K28" i="1"/>
  <c r="J28" i="1"/>
  <c r="I28" i="1"/>
  <c r="M28" i="1" l="1"/>
  <c r="L28" i="1"/>
  <c r="G30" i="1"/>
  <c r="H30" i="1" s="1"/>
  <c r="F31" i="1"/>
  <c r="K29" i="1"/>
  <c r="I29" i="1"/>
  <c r="J29" i="1"/>
  <c r="M29" i="1" l="1"/>
  <c r="L29" i="1"/>
  <c r="G31" i="1"/>
  <c r="H31" i="1" s="1"/>
  <c r="F32" i="1"/>
  <c r="I30" i="1"/>
  <c r="K30" i="1"/>
  <c r="J30" i="1"/>
  <c r="M30" i="1" l="1"/>
  <c r="L30" i="1"/>
  <c r="K31" i="1"/>
  <c r="J31" i="1"/>
  <c r="I31" i="1"/>
  <c r="G32" i="1"/>
  <c r="H32" i="1" s="1"/>
  <c r="F33" i="1"/>
  <c r="G33" i="1" l="1"/>
  <c r="H33" i="1" s="1"/>
  <c r="F34" i="1"/>
  <c r="J32" i="1"/>
  <c r="I32" i="1"/>
  <c r="K32" i="1"/>
  <c r="M31" i="1"/>
  <c r="L31" i="1"/>
  <c r="K33" i="1" l="1"/>
  <c r="J33" i="1"/>
  <c r="I33" i="1"/>
  <c r="M32" i="1"/>
  <c r="L32" i="1"/>
  <c r="F35" i="1"/>
  <c r="G34" i="1"/>
  <c r="H34" i="1" s="1"/>
  <c r="K34" i="1" l="1"/>
  <c r="J34" i="1"/>
  <c r="I34" i="1"/>
  <c r="G35" i="1"/>
  <c r="H35" i="1" s="1"/>
  <c r="F36" i="1"/>
  <c r="L33" i="1"/>
  <c r="M33" i="1"/>
  <c r="G36" i="1" l="1"/>
  <c r="H36" i="1" s="1"/>
  <c r="F37" i="1"/>
  <c r="K35" i="1"/>
  <c r="I35" i="1"/>
  <c r="J35" i="1"/>
  <c r="M34" i="1"/>
  <c r="L34" i="1"/>
  <c r="M35" i="1" l="1"/>
  <c r="L35" i="1"/>
  <c r="I36" i="1"/>
  <c r="K36" i="1"/>
  <c r="J36" i="1"/>
  <c r="G37" i="1"/>
  <c r="H37" i="1" s="1"/>
  <c r="F38" i="1"/>
  <c r="G38" i="1" l="1"/>
  <c r="H38" i="1" s="1"/>
  <c r="F39" i="1"/>
  <c r="K37" i="1"/>
  <c r="J37" i="1"/>
  <c r="I37" i="1"/>
  <c r="M36" i="1"/>
  <c r="L36" i="1"/>
  <c r="L37" i="1" l="1"/>
  <c r="M37" i="1"/>
  <c r="G39" i="1"/>
  <c r="H39" i="1" s="1"/>
  <c r="F40" i="1"/>
  <c r="J38" i="1"/>
  <c r="I38" i="1"/>
  <c r="K38" i="1"/>
  <c r="M38" i="1" l="1"/>
  <c r="L38" i="1"/>
  <c r="F41" i="1"/>
  <c r="G40" i="1"/>
  <c r="H40" i="1" s="1"/>
  <c r="K39" i="1"/>
  <c r="J39" i="1"/>
  <c r="I39" i="1"/>
  <c r="K40" i="1" l="1"/>
  <c r="J40" i="1"/>
  <c r="I40" i="1"/>
  <c r="L39" i="1"/>
  <c r="M39" i="1"/>
  <c r="G41" i="1"/>
  <c r="H41" i="1" s="1"/>
  <c r="F42" i="1"/>
  <c r="G42" i="1" l="1"/>
  <c r="H42" i="1" s="1"/>
  <c r="F43" i="1"/>
  <c r="K41" i="1"/>
  <c r="J41" i="1"/>
  <c r="I41" i="1"/>
  <c r="M40" i="1"/>
  <c r="L40" i="1"/>
  <c r="M41" i="1" l="1"/>
  <c r="L41" i="1"/>
  <c r="G43" i="1"/>
  <c r="H43" i="1" s="1"/>
  <c r="F44" i="1"/>
  <c r="I42" i="1"/>
  <c r="K42" i="1"/>
  <c r="J42" i="1"/>
  <c r="M42" i="1" l="1"/>
  <c r="L42" i="1"/>
  <c r="G44" i="1"/>
  <c r="H44" i="1" s="1"/>
  <c r="F45" i="1"/>
  <c r="K43" i="1"/>
  <c r="I43" i="1"/>
  <c r="J43" i="1"/>
  <c r="M43" i="1" l="1"/>
  <c r="L43" i="1"/>
  <c r="G45" i="1"/>
  <c r="H45" i="1" s="1"/>
  <c r="F46" i="1"/>
  <c r="J44" i="1"/>
  <c r="I44" i="1"/>
  <c r="K44" i="1"/>
  <c r="M44" i="1" l="1"/>
  <c r="L44" i="1"/>
  <c r="G46" i="1"/>
  <c r="H46" i="1" s="1"/>
  <c r="F47" i="1"/>
  <c r="K45" i="1"/>
  <c r="J45" i="1"/>
  <c r="I45" i="1"/>
  <c r="L45" i="1" l="1"/>
  <c r="M45" i="1"/>
  <c r="G47" i="1"/>
  <c r="H47" i="1" s="1"/>
  <c r="F48" i="1"/>
  <c r="K46" i="1"/>
  <c r="J46" i="1"/>
  <c r="I46" i="1"/>
  <c r="M46" i="1" l="1"/>
  <c r="L46" i="1"/>
  <c r="G48" i="1"/>
  <c r="H48" i="1" s="1"/>
  <c r="F49" i="1"/>
  <c r="K47" i="1"/>
  <c r="I47" i="1"/>
  <c r="J47" i="1"/>
  <c r="G49" i="1" l="1"/>
  <c r="H49" i="1" s="1"/>
  <c r="F50" i="1"/>
  <c r="I48" i="1"/>
  <c r="K48" i="1"/>
  <c r="J48" i="1"/>
  <c r="M47" i="1"/>
  <c r="L47" i="1"/>
  <c r="M48" i="1" l="1"/>
  <c r="L48" i="1"/>
  <c r="G50" i="1"/>
  <c r="H50" i="1" s="1"/>
  <c r="F51" i="1"/>
  <c r="K49" i="1"/>
  <c r="J49" i="1"/>
  <c r="I49" i="1"/>
  <c r="M49" i="1" l="1"/>
  <c r="L49" i="1"/>
  <c r="G51" i="1"/>
  <c r="H51" i="1" s="1"/>
  <c r="F52" i="1"/>
  <c r="J50" i="1"/>
  <c r="I50" i="1"/>
  <c r="K50" i="1"/>
  <c r="M50" i="1" l="1"/>
  <c r="L50" i="1"/>
  <c r="F53" i="1"/>
  <c r="G52" i="1"/>
  <c r="H52" i="1" s="1"/>
  <c r="K51" i="1"/>
  <c r="J51" i="1"/>
  <c r="I51" i="1"/>
  <c r="L51" i="1" l="1"/>
  <c r="M51" i="1"/>
  <c r="K52" i="1"/>
  <c r="J52" i="1"/>
  <c r="I52" i="1"/>
  <c r="G53" i="1"/>
  <c r="H53" i="1" s="1"/>
  <c r="F54" i="1"/>
  <c r="G54" i="1" l="1"/>
  <c r="H54" i="1" s="1"/>
  <c r="F55" i="1"/>
  <c r="K53" i="1"/>
  <c r="I53" i="1"/>
  <c r="J53" i="1"/>
  <c r="M52" i="1"/>
  <c r="L52" i="1"/>
  <c r="M53" i="1" l="1"/>
  <c r="L53" i="1"/>
  <c r="I54" i="1"/>
  <c r="K54" i="1"/>
  <c r="J54" i="1"/>
  <c r="G55" i="1"/>
  <c r="H55" i="1" s="1"/>
  <c r="F56" i="1"/>
  <c r="G56" i="1" l="1"/>
  <c r="H56" i="1" s="1"/>
  <c r="F57" i="1"/>
  <c r="K55" i="1"/>
  <c r="J55" i="1"/>
  <c r="I55" i="1"/>
  <c r="M54" i="1"/>
  <c r="L54" i="1"/>
  <c r="L55" i="1" l="1"/>
  <c r="M55" i="1"/>
  <c r="G57" i="1"/>
  <c r="H57" i="1" s="1"/>
  <c r="F58" i="1"/>
  <c r="J56" i="1"/>
  <c r="I56" i="1"/>
  <c r="K56" i="1"/>
  <c r="M56" i="1" l="1"/>
  <c r="L56" i="1"/>
  <c r="F59" i="1"/>
  <c r="G58" i="1"/>
  <c r="H58" i="1" s="1"/>
  <c r="K57" i="1"/>
  <c r="J57" i="1"/>
  <c r="I57" i="1"/>
  <c r="L57" i="1" l="1"/>
  <c r="M57" i="1"/>
  <c r="K58" i="1"/>
  <c r="J58" i="1"/>
  <c r="I58" i="1"/>
  <c r="G59" i="1"/>
  <c r="H59" i="1" s="1"/>
  <c r="F60" i="1"/>
  <c r="G60" i="1" l="1"/>
  <c r="H60" i="1" s="1"/>
  <c r="F61" i="1"/>
  <c r="K59" i="1"/>
  <c r="J59" i="1"/>
  <c r="I59" i="1"/>
  <c r="M58" i="1"/>
  <c r="L58" i="1"/>
  <c r="M59" i="1" l="1"/>
  <c r="L59" i="1"/>
  <c r="G61" i="1"/>
  <c r="H61" i="1" s="1"/>
  <c r="F62" i="1"/>
  <c r="I60" i="1"/>
  <c r="K60" i="1"/>
  <c r="J60" i="1"/>
  <c r="M60" i="1" l="1"/>
  <c r="L60" i="1"/>
  <c r="G62" i="1"/>
  <c r="H62" i="1" s="1"/>
  <c r="F63" i="1"/>
  <c r="I61" i="1"/>
  <c r="J61" i="1"/>
  <c r="K61" i="1"/>
  <c r="L61" i="1" l="1"/>
  <c r="M61" i="1"/>
  <c r="G63" i="1"/>
  <c r="H63" i="1" s="1"/>
  <c r="F64" i="1"/>
  <c r="J62" i="1"/>
  <c r="K62" i="1"/>
  <c r="I62" i="1"/>
  <c r="L62" i="1" l="1"/>
  <c r="M62" i="1"/>
  <c r="F65" i="1"/>
  <c r="G64" i="1"/>
  <c r="H64" i="1" s="1"/>
  <c r="K63" i="1"/>
  <c r="J63" i="1"/>
  <c r="I63" i="1"/>
  <c r="L63" i="1" l="1"/>
  <c r="M63" i="1"/>
  <c r="K64" i="1"/>
  <c r="J64" i="1"/>
  <c r="I64" i="1"/>
  <c r="G65" i="1"/>
  <c r="H65" i="1" s="1"/>
  <c r="F66" i="1"/>
  <c r="G66" i="1" l="1"/>
  <c r="H66" i="1" s="1"/>
  <c r="F67" i="1"/>
  <c r="J65" i="1"/>
  <c r="I65" i="1"/>
  <c r="K65" i="1"/>
  <c r="M64" i="1"/>
  <c r="L64" i="1"/>
  <c r="M65" i="1" l="1"/>
  <c r="L65" i="1"/>
  <c r="G67" i="1"/>
  <c r="H67" i="1" s="1"/>
  <c r="F68" i="1"/>
  <c r="J66" i="1"/>
  <c r="I66" i="1"/>
  <c r="K66" i="1"/>
  <c r="M66" i="1" l="1"/>
  <c r="L66" i="1"/>
  <c r="G68" i="1"/>
  <c r="H68" i="1" s="1"/>
  <c r="F69" i="1"/>
  <c r="K67" i="1"/>
  <c r="J67" i="1"/>
  <c r="I67" i="1"/>
  <c r="F70" i="1" l="1"/>
  <c r="G69" i="1"/>
  <c r="H69" i="1" s="1"/>
  <c r="J68" i="1"/>
  <c r="K68" i="1"/>
  <c r="I68" i="1"/>
  <c r="M67" i="1"/>
  <c r="L67" i="1"/>
  <c r="M68" i="1" l="1"/>
  <c r="L68" i="1"/>
  <c r="I69" i="1"/>
  <c r="J69" i="1"/>
  <c r="K69" i="1"/>
  <c r="G70" i="1"/>
  <c r="H70" i="1" s="1"/>
  <c r="F71" i="1"/>
  <c r="I70" i="1" l="1"/>
  <c r="K70" i="1"/>
  <c r="J70" i="1"/>
  <c r="G71" i="1"/>
  <c r="H71" i="1" s="1"/>
  <c r="F72" i="1"/>
  <c r="L69" i="1"/>
  <c r="M69" i="1"/>
  <c r="F73" i="1" l="1"/>
  <c r="G72" i="1"/>
  <c r="H72" i="1" s="1"/>
  <c r="K71" i="1"/>
  <c r="J71" i="1"/>
  <c r="I71" i="1"/>
  <c r="L70" i="1"/>
  <c r="M70" i="1"/>
  <c r="M71" i="1" l="1"/>
  <c r="L71" i="1"/>
  <c r="K72" i="1"/>
  <c r="J72" i="1"/>
  <c r="I72" i="1"/>
  <c r="G73" i="1"/>
  <c r="H73" i="1" s="1"/>
  <c r="F74" i="1"/>
  <c r="G74" i="1" l="1"/>
  <c r="H74" i="1" s="1"/>
  <c r="F75" i="1"/>
  <c r="I73" i="1"/>
  <c r="K73" i="1"/>
  <c r="J73" i="1"/>
  <c r="M72" i="1"/>
  <c r="L72" i="1"/>
  <c r="M73" i="1" l="1"/>
  <c r="L73" i="1"/>
  <c r="G75" i="1"/>
  <c r="H75" i="1" s="1"/>
  <c r="F76" i="1"/>
  <c r="J74" i="1"/>
  <c r="K74" i="1"/>
  <c r="I74" i="1"/>
  <c r="G76" i="1" l="1"/>
  <c r="H76" i="1" s="1"/>
  <c r="F77" i="1"/>
  <c r="J75" i="1"/>
  <c r="I75" i="1"/>
  <c r="K75" i="1"/>
  <c r="M74" i="1"/>
  <c r="L74" i="1"/>
  <c r="L75" i="1" l="1"/>
  <c r="M75" i="1"/>
  <c r="G77" i="1"/>
  <c r="H77" i="1" s="1"/>
  <c r="F78" i="1"/>
  <c r="K76" i="1"/>
  <c r="J76" i="1"/>
  <c r="I76" i="1"/>
  <c r="M76" i="1" l="1"/>
  <c r="L76" i="1"/>
  <c r="G78" i="1"/>
  <c r="H78" i="1" s="1"/>
  <c r="F79" i="1"/>
  <c r="K77" i="1"/>
  <c r="J77" i="1"/>
  <c r="I77" i="1"/>
  <c r="M77" i="1" l="1"/>
  <c r="L77" i="1"/>
  <c r="G79" i="1"/>
  <c r="H79" i="1" s="1"/>
  <c r="F80" i="1"/>
  <c r="I78" i="1"/>
  <c r="K78" i="1"/>
  <c r="J78" i="1"/>
  <c r="M78" i="1" l="1"/>
  <c r="L78" i="1"/>
  <c r="G80" i="1"/>
  <c r="H80" i="1" s="1"/>
  <c r="F81" i="1"/>
  <c r="I79" i="1"/>
  <c r="K79" i="1"/>
  <c r="J79" i="1"/>
  <c r="L79" i="1" l="1"/>
  <c r="M79" i="1"/>
  <c r="G81" i="1"/>
  <c r="H81" i="1" s="1"/>
  <c r="F82" i="1"/>
  <c r="J80" i="1"/>
  <c r="K80" i="1"/>
  <c r="I80" i="1"/>
  <c r="L80" i="1" l="1"/>
  <c r="M80" i="1"/>
  <c r="F83" i="1"/>
  <c r="G82" i="1"/>
  <c r="H82" i="1" s="1"/>
  <c r="K81" i="1"/>
  <c r="J81" i="1"/>
  <c r="I81" i="1"/>
  <c r="L81" i="1" l="1"/>
  <c r="M81" i="1"/>
  <c r="K82" i="1"/>
  <c r="J82" i="1"/>
  <c r="I82" i="1"/>
  <c r="G83" i="1"/>
  <c r="H83" i="1" s="1"/>
  <c r="F84" i="1"/>
  <c r="M82" i="1" l="1"/>
  <c r="L82" i="1"/>
  <c r="G84" i="1"/>
  <c r="H84" i="1" s="1"/>
  <c r="F85" i="1"/>
  <c r="J83" i="1"/>
  <c r="K83" i="1"/>
  <c r="I83" i="1"/>
  <c r="M83" i="1" l="1"/>
  <c r="L83" i="1"/>
  <c r="G85" i="1"/>
  <c r="H85" i="1" s="1"/>
  <c r="F86" i="1"/>
  <c r="J84" i="1"/>
  <c r="I84" i="1"/>
  <c r="K84" i="1"/>
  <c r="M84" i="1" l="1"/>
  <c r="L84" i="1"/>
  <c r="G86" i="1"/>
  <c r="H86" i="1" s="1"/>
  <c r="F87" i="1"/>
  <c r="K85" i="1"/>
  <c r="J85" i="1"/>
  <c r="I85" i="1"/>
  <c r="M85" i="1" l="1"/>
  <c r="L85" i="1"/>
  <c r="F88" i="1"/>
  <c r="G87" i="1"/>
  <c r="H87" i="1" s="1"/>
  <c r="J86" i="1"/>
  <c r="K86" i="1"/>
  <c r="I86" i="1"/>
  <c r="M86" i="1" l="1"/>
  <c r="L86" i="1"/>
  <c r="I87" i="1"/>
  <c r="J87" i="1"/>
  <c r="K87" i="1"/>
  <c r="G88" i="1"/>
  <c r="H88" i="1" s="1"/>
  <c r="F89" i="1"/>
  <c r="G89" i="1" l="1"/>
  <c r="H89" i="1" s="1"/>
  <c r="F90" i="1"/>
  <c r="I88" i="1"/>
  <c r="J88" i="1"/>
  <c r="K88" i="1"/>
  <c r="L87" i="1"/>
  <c r="M87" i="1"/>
  <c r="L88" i="1" l="1"/>
  <c r="M88" i="1"/>
  <c r="G90" i="1"/>
  <c r="H90" i="1" s="1"/>
  <c r="F91" i="1"/>
  <c r="K89" i="1"/>
  <c r="J89" i="1"/>
  <c r="I89" i="1"/>
  <c r="M89" i="1" l="1"/>
  <c r="L89" i="1"/>
  <c r="K90" i="1"/>
  <c r="J90" i="1"/>
  <c r="I90" i="1"/>
  <c r="G91" i="1"/>
  <c r="H91" i="1" s="1"/>
  <c r="F92" i="1"/>
  <c r="G92" i="1" l="1"/>
  <c r="H92" i="1" s="1"/>
  <c r="F93" i="1"/>
  <c r="J91" i="1"/>
  <c r="K91" i="1"/>
  <c r="I91" i="1"/>
  <c r="M90" i="1"/>
  <c r="L90" i="1"/>
  <c r="M91" i="1" l="1"/>
  <c r="L91" i="1"/>
  <c r="G93" i="1"/>
  <c r="H93" i="1" s="1"/>
  <c r="F94" i="1"/>
  <c r="J92" i="1"/>
  <c r="K92" i="1"/>
  <c r="I92" i="1"/>
  <c r="M92" i="1" l="1"/>
  <c r="L92" i="1"/>
  <c r="G94" i="1"/>
  <c r="H94" i="1" s="1"/>
  <c r="F95" i="1"/>
  <c r="J93" i="1"/>
  <c r="I93" i="1"/>
  <c r="K93" i="1"/>
  <c r="L93" i="1" l="1"/>
  <c r="M93" i="1"/>
  <c r="G95" i="1"/>
  <c r="H95" i="1" s="1"/>
  <c r="F96" i="1"/>
  <c r="K94" i="1"/>
  <c r="J94" i="1"/>
  <c r="I94" i="1"/>
  <c r="M94" i="1" l="1"/>
  <c r="L94" i="1"/>
  <c r="K95" i="1"/>
  <c r="J95" i="1"/>
  <c r="I95" i="1"/>
  <c r="G96" i="1"/>
  <c r="H96" i="1" s="1"/>
  <c r="F97" i="1"/>
  <c r="G97" i="1" l="1"/>
  <c r="H97" i="1" s="1"/>
  <c r="F98" i="1"/>
  <c r="I96" i="1"/>
  <c r="K96" i="1"/>
  <c r="J96" i="1"/>
  <c r="M95" i="1"/>
  <c r="L95" i="1"/>
  <c r="M96" i="1" l="1"/>
  <c r="L96" i="1"/>
  <c r="G98" i="1"/>
  <c r="H98" i="1" s="1"/>
  <c r="F99" i="1"/>
  <c r="I97" i="1"/>
  <c r="K97" i="1"/>
  <c r="J97" i="1"/>
  <c r="L97" i="1" l="1"/>
  <c r="M97" i="1"/>
  <c r="F100" i="1"/>
  <c r="G99" i="1"/>
  <c r="H99" i="1" s="1"/>
  <c r="J98" i="1"/>
  <c r="K98" i="1"/>
  <c r="I98" i="1"/>
  <c r="L98" i="1" l="1"/>
  <c r="M98" i="1"/>
  <c r="K99" i="1"/>
  <c r="J99" i="1"/>
  <c r="I99" i="1"/>
  <c r="F101" i="1"/>
  <c r="G100" i="1"/>
  <c r="H100" i="1" s="1"/>
  <c r="I100" i="1" l="1"/>
  <c r="K100" i="1"/>
  <c r="J100" i="1"/>
  <c r="G101" i="1"/>
  <c r="H101" i="1" s="1"/>
  <c r="F102" i="1"/>
  <c r="L99" i="1"/>
  <c r="M99" i="1"/>
  <c r="G102" i="1" l="1"/>
  <c r="H102" i="1" s="1"/>
  <c r="F103" i="1"/>
  <c r="J101" i="1"/>
  <c r="K101" i="1"/>
  <c r="I101" i="1"/>
  <c r="M100" i="1"/>
  <c r="L100" i="1"/>
  <c r="M101" i="1" l="1"/>
  <c r="L101" i="1"/>
  <c r="F104" i="1"/>
  <c r="G103" i="1"/>
  <c r="H103" i="1" s="1"/>
  <c r="J102" i="1"/>
  <c r="K102" i="1"/>
  <c r="I102" i="1"/>
  <c r="L102" i="1" l="1"/>
  <c r="M102" i="1"/>
  <c r="I103" i="1"/>
  <c r="K103" i="1"/>
  <c r="J103" i="1"/>
  <c r="G104" i="1"/>
  <c r="H104" i="1" s="1"/>
  <c r="F105" i="1"/>
  <c r="G105" i="1" l="1"/>
  <c r="H105" i="1" s="1"/>
  <c r="F106" i="1"/>
  <c r="K104" i="1"/>
  <c r="J104" i="1"/>
  <c r="I104" i="1"/>
  <c r="L103" i="1"/>
  <c r="M103" i="1"/>
  <c r="L104" i="1" l="1"/>
  <c r="M104" i="1"/>
  <c r="G106" i="1"/>
  <c r="H106" i="1" s="1"/>
  <c r="F107" i="1"/>
  <c r="K105" i="1"/>
  <c r="J105" i="1"/>
  <c r="I105" i="1"/>
  <c r="M105" i="1" l="1"/>
  <c r="L105" i="1"/>
  <c r="G107" i="1"/>
  <c r="H107" i="1" s="1"/>
  <c r="F108" i="1"/>
  <c r="K106" i="1"/>
  <c r="J106" i="1"/>
  <c r="I106" i="1"/>
  <c r="M106" i="1" l="1"/>
  <c r="L106" i="1"/>
  <c r="F109" i="1"/>
  <c r="G108" i="1"/>
  <c r="H108" i="1" s="1"/>
  <c r="K107" i="1"/>
  <c r="I107" i="1"/>
  <c r="J107" i="1"/>
  <c r="M107" i="1" l="1"/>
  <c r="L107" i="1"/>
  <c r="J108" i="1"/>
  <c r="K108" i="1"/>
  <c r="I108" i="1"/>
  <c r="G109" i="1"/>
  <c r="H109" i="1" s="1"/>
  <c r="F110" i="1"/>
  <c r="G110" i="1" l="1"/>
  <c r="H110" i="1" s="1"/>
  <c r="F111" i="1"/>
  <c r="I109" i="1"/>
  <c r="K109" i="1"/>
  <c r="J109" i="1"/>
  <c r="M108" i="1"/>
  <c r="L108" i="1"/>
  <c r="L109" i="1" l="1"/>
  <c r="M109" i="1"/>
  <c r="G111" i="1"/>
  <c r="H111" i="1" s="1"/>
  <c r="F112" i="1"/>
  <c r="K110" i="1"/>
  <c r="J110" i="1"/>
  <c r="I110" i="1"/>
  <c r="L110" i="1" l="1"/>
  <c r="M110" i="1"/>
  <c r="F113" i="1"/>
  <c r="G112" i="1"/>
  <c r="H112" i="1" s="1"/>
  <c r="I111" i="1"/>
  <c r="K111" i="1"/>
  <c r="J111" i="1"/>
  <c r="M111" i="1" l="1"/>
  <c r="L111" i="1"/>
  <c r="I112" i="1"/>
  <c r="J112" i="1"/>
  <c r="K112" i="1"/>
  <c r="G113" i="1"/>
  <c r="H113" i="1" s="1"/>
  <c r="F114" i="1"/>
  <c r="F115" i="1" l="1"/>
  <c r="G114" i="1"/>
  <c r="H114" i="1" s="1"/>
  <c r="J113" i="1"/>
  <c r="I113" i="1"/>
  <c r="K113" i="1"/>
  <c r="M112" i="1"/>
  <c r="L112" i="1"/>
  <c r="L113" i="1" l="1"/>
  <c r="M113" i="1"/>
  <c r="J114" i="1"/>
  <c r="I114" i="1"/>
  <c r="K114" i="1"/>
  <c r="G115" i="1"/>
  <c r="H115" i="1" s="1"/>
  <c r="F116" i="1"/>
  <c r="G116" i="1" l="1"/>
  <c r="H116" i="1" s="1"/>
  <c r="F117" i="1"/>
  <c r="I115" i="1"/>
  <c r="K115" i="1"/>
  <c r="J115" i="1"/>
  <c r="L114" i="1"/>
  <c r="M114" i="1"/>
  <c r="L115" i="1" l="1"/>
  <c r="M115" i="1"/>
  <c r="G117" i="1"/>
  <c r="H117" i="1" s="1"/>
  <c r="F118" i="1"/>
  <c r="K116" i="1"/>
  <c r="J116" i="1"/>
  <c r="I116" i="1"/>
  <c r="L116" i="1" l="1"/>
  <c r="M116" i="1"/>
  <c r="G118" i="1"/>
  <c r="H118" i="1" s="1"/>
  <c r="F119" i="1"/>
  <c r="J117" i="1"/>
  <c r="K117" i="1"/>
  <c r="I117" i="1"/>
  <c r="M117" i="1" l="1"/>
  <c r="L117" i="1"/>
  <c r="G119" i="1"/>
  <c r="H119" i="1" s="1"/>
  <c r="F120" i="1"/>
  <c r="K118" i="1"/>
  <c r="J118" i="1"/>
  <c r="I118" i="1"/>
  <c r="M118" i="1" l="1"/>
  <c r="L118" i="1"/>
  <c r="G120" i="1"/>
  <c r="H120" i="1" s="1"/>
  <c r="F121" i="1"/>
  <c r="K119" i="1"/>
  <c r="I119" i="1"/>
  <c r="J119" i="1"/>
  <c r="M119" i="1" l="1"/>
  <c r="L119" i="1"/>
  <c r="G121" i="1"/>
  <c r="H121" i="1" s="1"/>
  <c r="F122" i="1"/>
  <c r="J120" i="1"/>
  <c r="K120" i="1"/>
  <c r="I120" i="1"/>
  <c r="L120" i="1" l="1"/>
  <c r="M120" i="1"/>
  <c r="G122" i="1"/>
  <c r="H122" i="1" s="1"/>
  <c r="F123" i="1"/>
  <c r="I121" i="1"/>
  <c r="K121" i="1"/>
  <c r="J121" i="1"/>
  <c r="L121" i="1" l="1"/>
  <c r="M121" i="1"/>
  <c r="G123" i="1"/>
  <c r="H123" i="1" s="1"/>
  <c r="F124" i="1"/>
  <c r="J122" i="1"/>
  <c r="I122" i="1"/>
  <c r="K122" i="1"/>
  <c r="L122" i="1" l="1"/>
  <c r="M122" i="1"/>
  <c r="G124" i="1"/>
  <c r="H124" i="1" s="1"/>
  <c r="F125" i="1"/>
  <c r="K123" i="1"/>
  <c r="I123" i="1"/>
  <c r="J123" i="1"/>
  <c r="L123" i="1" l="1"/>
  <c r="M123" i="1"/>
  <c r="G125" i="1"/>
  <c r="H125" i="1" s="1"/>
  <c r="F126" i="1"/>
  <c r="K124" i="1"/>
  <c r="J124" i="1"/>
  <c r="I124" i="1"/>
  <c r="M124" i="1" l="1"/>
  <c r="L124" i="1"/>
  <c r="G126" i="1"/>
  <c r="H126" i="1" s="1"/>
  <c r="F127" i="1"/>
  <c r="K125" i="1"/>
  <c r="J125" i="1"/>
  <c r="I125" i="1"/>
  <c r="M125" i="1" l="1"/>
  <c r="L125" i="1"/>
  <c r="G127" i="1"/>
  <c r="H127" i="1" s="1"/>
  <c r="F128" i="1"/>
  <c r="J126" i="1"/>
  <c r="K126" i="1"/>
  <c r="I126" i="1"/>
  <c r="L126" i="1" l="1"/>
  <c r="M126" i="1"/>
  <c r="G128" i="1"/>
  <c r="H128" i="1" s="1"/>
  <c r="F129" i="1"/>
  <c r="K127" i="1"/>
  <c r="J127" i="1"/>
  <c r="I127" i="1"/>
  <c r="L127" i="1" l="1"/>
  <c r="M127" i="1"/>
  <c r="G129" i="1"/>
  <c r="H129" i="1" s="1"/>
  <c r="F130" i="1"/>
  <c r="K128" i="1"/>
  <c r="J128" i="1"/>
  <c r="I128" i="1"/>
  <c r="M128" i="1" l="1"/>
  <c r="L128" i="1"/>
  <c r="G130" i="1"/>
  <c r="H130" i="1" s="1"/>
  <c r="F131" i="1"/>
  <c r="K129" i="1"/>
  <c r="I129" i="1"/>
  <c r="J129" i="1"/>
  <c r="M129" i="1" l="1"/>
  <c r="L129" i="1"/>
  <c r="G131" i="1"/>
  <c r="H131" i="1" s="1"/>
  <c r="F132" i="1"/>
  <c r="I130" i="1"/>
  <c r="K130" i="1"/>
  <c r="J130" i="1"/>
  <c r="M130" i="1" l="1"/>
  <c r="L130" i="1"/>
  <c r="G132" i="1"/>
  <c r="H132" i="1" s="1"/>
  <c r="F133" i="1"/>
  <c r="J131" i="1"/>
  <c r="I131" i="1"/>
  <c r="K131" i="1"/>
  <c r="L131" i="1" l="1"/>
  <c r="M131" i="1"/>
  <c r="G133" i="1"/>
  <c r="H133" i="1" s="1"/>
  <c r="F134" i="1"/>
  <c r="J132" i="1"/>
  <c r="K132" i="1"/>
  <c r="I132" i="1"/>
  <c r="M132" i="1" l="1"/>
  <c r="L132" i="1"/>
  <c r="F135" i="1"/>
  <c r="G134" i="1"/>
  <c r="H134" i="1" s="1"/>
  <c r="K133" i="1"/>
  <c r="J133" i="1"/>
  <c r="I133" i="1"/>
  <c r="L133" i="1" l="1"/>
  <c r="M133" i="1"/>
  <c r="K134" i="1"/>
  <c r="J134" i="1"/>
  <c r="I134" i="1"/>
  <c r="G135" i="1"/>
  <c r="H135" i="1" s="1"/>
  <c r="F136" i="1"/>
  <c r="G136" i="1" l="1"/>
  <c r="H136" i="1" s="1"/>
  <c r="F137" i="1"/>
  <c r="J135" i="1"/>
  <c r="K135" i="1"/>
  <c r="I135" i="1"/>
  <c r="M134" i="1"/>
  <c r="L134" i="1"/>
  <c r="L135" i="1" l="1"/>
  <c r="M135" i="1"/>
  <c r="G137" i="1"/>
  <c r="H137" i="1" s="1"/>
  <c r="F138" i="1"/>
  <c r="K136" i="1"/>
  <c r="J136" i="1"/>
  <c r="I136" i="1"/>
  <c r="M136" i="1" l="1"/>
  <c r="L136" i="1"/>
  <c r="G138" i="1"/>
  <c r="H138" i="1" s="1"/>
  <c r="F139" i="1"/>
  <c r="K137" i="1"/>
  <c r="J137" i="1"/>
  <c r="I137" i="1"/>
  <c r="M137" i="1" l="1"/>
  <c r="L137" i="1"/>
  <c r="G139" i="1"/>
  <c r="H139" i="1" s="1"/>
  <c r="F140" i="1"/>
  <c r="J138" i="1"/>
  <c r="K138" i="1"/>
  <c r="I138" i="1"/>
  <c r="G140" i="1" l="1"/>
  <c r="H140" i="1" s="1"/>
  <c r="F141" i="1"/>
  <c r="I139" i="1"/>
  <c r="J139" i="1"/>
  <c r="K139" i="1"/>
  <c r="M138" i="1"/>
  <c r="L138" i="1"/>
  <c r="L139" i="1" l="1"/>
  <c r="M139" i="1"/>
  <c r="G141" i="1"/>
  <c r="H141" i="1" s="1"/>
  <c r="F142" i="1"/>
  <c r="J140" i="1"/>
  <c r="I140" i="1"/>
  <c r="K140" i="1"/>
  <c r="L140" i="1" l="1"/>
  <c r="M140" i="1"/>
  <c r="F143" i="1"/>
  <c r="G142" i="1"/>
  <c r="H142" i="1" s="1"/>
  <c r="K141" i="1"/>
  <c r="J141" i="1"/>
  <c r="I141" i="1"/>
  <c r="L141" i="1" l="1"/>
  <c r="M141" i="1"/>
  <c r="K142" i="1"/>
  <c r="J142" i="1"/>
  <c r="I142" i="1"/>
  <c r="G143" i="1"/>
  <c r="H143" i="1" s="1"/>
  <c r="F144" i="1"/>
  <c r="G144" i="1" l="1"/>
  <c r="H144" i="1" s="1"/>
  <c r="F145" i="1"/>
  <c r="I143" i="1"/>
  <c r="K143" i="1"/>
  <c r="J143" i="1"/>
  <c r="M142" i="1"/>
  <c r="L142" i="1"/>
  <c r="L143" i="1" l="1"/>
  <c r="M143" i="1"/>
  <c r="G145" i="1"/>
  <c r="H145" i="1" s="1"/>
  <c r="F146" i="1"/>
  <c r="J144" i="1"/>
  <c r="K144" i="1"/>
  <c r="I144" i="1"/>
  <c r="M144" i="1" l="1"/>
  <c r="L144" i="1"/>
  <c r="G146" i="1"/>
  <c r="H146" i="1" s="1"/>
  <c r="F147" i="1"/>
  <c r="K145" i="1"/>
  <c r="J145" i="1"/>
  <c r="I145" i="1"/>
  <c r="L145" i="1" l="1"/>
  <c r="M145" i="1"/>
  <c r="G147" i="1"/>
  <c r="H147" i="1" s="1"/>
  <c r="F148" i="1"/>
  <c r="K146" i="1"/>
  <c r="J146" i="1"/>
  <c r="I146" i="1"/>
  <c r="G148" i="1" l="1"/>
  <c r="H148" i="1" s="1"/>
  <c r="F149" i="1"/>
  <c r="M146" i="1"/>
  <c r="L146" i="1"/>
  <c r="J147" i="1"/>
  <c r="K147" i="1"/>
  <c r="I147" i="1"/>
  <c r="M147" i="1" l="1"/>
  <c r="L147" i="1"/>
  <c r="G149" i="1"/>
  <c r="H149" i="1" s="1"/>
  <c r="F150" i="1"/>
  <c r="I148" i="1"/>
  <c r="J148" i="1"/>
  <c r="K148" i="1"/>
  <c r="M148" i="1" l="1"/>
  <c r="L148" i="1"/>
  <c r="F151" i="1"/>
  <c r="G150" i="1"/>
  <c r="H150" i="1" s="1"/>
  <c r="J149" i="1"/>
  <c r="K149" i="1"/>
  <c r="I149" i="1"/>
  <c r="M149" i="1" l="1"/>
  <c r="L149" i="1"/>
  <c r="J150" i="1"/>
  <c r="K150" i="1"/>
  <c r="I150" i="1"/>
  <c r="G151" i="1"/>
  <c r="H151" i="1" s="1"/>
  <c r="F152" i="1"/>
  <c r="G152" i="1" l="1"/>
  <c r="H152" i="1" s="1"/>
  <c r="F153" i="1"/>
  <c r="J151" i="1"/>
  <c r="K151" i="1"/>
  <c r="I151" i="1"/>
  <c r="L150" i="1"/>
  <c r="M150" i="1"/>
  <c r="L151" i="1" l="1"/>
  <c r="M151" i="1"/>
  <c r="G153" i="1"/>
  <c r="H153" i="1" s="1"/>
  <c r="F154" i="1"/>
  <c r="J152" i="1"/>
  <c r="K152" i="1"/>
  <c r="I152" i="1"/>
  <c r="M152" i="1" l="1"/>
  <c r="L152" i="1"/>
  <c r="F155" i="1"/>
  <c r="G154" i="1"/>
  <c r="H154" i="1" s="1"/>
  <c r="K153" i="1"/>
  <c r="J153" i="1"/>
  <c r="I153" i="1"/>
  <c r="M153" i="1" l="1"/>
  <c r="L153" i="1"/>
  <c r="K154" i="1"/>
  <c r="J154" i="1"/>
  <c r="I154" i="1"/>
  <c r="G155" i="1"/>
  <c r="H155" i="1" s="1"/>
  <c r="F156" i="1"/>
  <c r="G156" i="1" l="1"/>
  <c r="H156" i="1" s="1"/>
  <c r="F157" i="1"/>
  <c r="J155" i="1"/>
  <c r="I155" i="1"/>
  <c r="K155" i="1"/>
  <c r="M154" i="1"/>
  <c r="L154" i="1"/>
  <c r="L155" i="1" l="1"/>
  <c r="M155" i="1"/>
  <c r="G157" i="1"/>
  <c r="H157" i="1" s="1"/>
  <c r="F158" i="1"/>
  <c r="J156" i="1"/>
  <c r="I156" i="1"/>
  <c r="K156" i="1"/>
  <c r="L156" i="1" l="1"/>
  <c r="M156" i="1"/>
  <c r="G158" i="1"/>
  <c r="H158" i="1" s="1"/>
  <c r="F159" i="1"/>
  <c r="K157" i="1"/>
  <c r="J157" i="1"/>
  <c r="I157" i="1"/>
  <c r="L157" i="1" l="1"/>
  <c r="M157" i="1"/>
  <c r="G159" i="1"/>
  <c r="H159" i="1" s="1"/>
  <c r="F160" i="1"/>
  <c r="K158" i="1"/>
  <c r="J158" i="1"/>
  <c r="I158" i="1"/>
  <c r="M158" i="1" l="1"/>
  <c r="L158" i="1"/>
  <c r="G160" i="1"/>
  <c r="H160" i="1" s="1"/>
  <c r="F161" i="1"/>
  <c r="I159" i="1"/>
  <c r="K159" i="1"/>
  <c r="J159" i="1"/>
  <c r="L159" i="1" l="1"/>
  <c r="M159" i="1"/>
  <c r="F162" i="1"/>
  <c r="G161" i="1"/>
  <c r="H161" i="1" s="1"/>
  <c r="K160" i="1"/>
  <c r="J160" i="1"/>
  <c r="I160" i="1"/>
  <c r="M160" i="1" l="1"/>
  <c r="L160" i="1"/>
  <c r="J161" i="1"/>
  <c r="I161" i="1"/>
  <c r="K161" i="1"/>
  <c r="G162" i="1"/>
  <c r="H162" i="1" s="1"/>
  <c r="F163" i="1"/>
  <c r="G163" i="1" l="1"/>
  <c r="H163" i="1" s="1"/>
  <c r="F164" i="1"/>
  <c r="J162" i="1"/>
  <c r="K162" i="1"/>
  <c r="I162" i="1"/>
  <c r="M161" i="1"/>
  <c r="L161" i="1"/>
  <c r="L162" i="1" l="1"/>
  <c r="M162" i="1"/>
  <c r="G164" i="1"/>
  <c r="H164" i="1" s="1"/>
  <c r="F165" i="1"/>
  <c r="K163" i="1"/>
  <c r="J163" i="1"/>
  <c r="I163" i="1"/>
  <c r="L163" i="1" l="1"/>
  <c r="M163" i="1"/>
  <c r="G165" i="1"/>
  <c r="H165" i="1" s="1"/>
  <c r="F166" i="1"/>
  <c r="K164" i="1"/>
  <c r="J164" i="1"/>
  <c r="I164" i="1"/>
  <c r="M164" i="1" l="1"/>
  <c r="L164" i="1"/>
  <c r="G166" i="1"/>
  <c r="H166" i="1" s="1"/>
  <c r="F167" i="1"/>
  <c r="J165" i="1"/>
  <c r="I165" i="1"/>
  <c r="K165" i="1"/>
  <c r="M165" i="1" l="1"/>
  <c r="L165" i="1"/>
  <c r="G167" i="1"/>
  <c r="H167" i="1" s="1"/>
  <c r="F168" i="1"/>
  <c r="I166" i="1"/>
  <c r="K166" i="1"/>
  <c r="J166" i="1"/>
  <c r="L166" i="1" l="1"/>
  <c r="M166" i="1"/>
  <c r="F169" i="1"/>
  <c r="G168" i="1"/>
  <c r="H168" i="1" s="1"/>
  <c r="J167" i="1"/>
  <c r="K167" i="1"/>
  <c r="I167" i="1"/>
  <c r="M167" i="1" l="1"/>
  <c r="L167" i="1"/>
  <c r="K168" i="1"/>
  <c r="J168" i="1"/>
  <c r="I168" i="1"/>
  <c r="G169" i="1"/>
  <c r="H169" i="1" s="1"/>
  <c r="F170" i="1"/>
  <c r="G170" i="1" l="1"/>
  <c r="H170" i="1" s="1"/>
  <c r="F171" i="1"/>
  <c r="J169" i="1"/>
  <c r="K169" i="1"/>
  <c r="I169" i="1"/>
  <c r="L168" i="1"/>
  <c r="M168" i="1"/>
  <c r="M169" i="1" l="1"/>
  <c r="L169" i="1"/>
  <c r="G171" i="1"/>
  <c r="H171" i="1" s="1"/>
  <c r="F172" i="1"/>
  <c r="K170" i="1"/>
  <c r="J170" i="1"/>
  <c r="I170" i="1"/>
  <c r="L170" i="1" l="1"/>
  <c r="M170" i="1"/>
  <c r="G172" i="1"/>
  <c r="H172" i="1" s="1"/>
  <c r="F173" i="1"/>
  <c r="I171" i="1"/>
  <c r="J171" i="1"/>
  <c r="K171" i="1"/>
  <c r="M171" i="1" l="1"/>
  <c r="L171" i="1"/>
  <c r="F174" i="1"/>
  <c r="G173" i="1"/>
  <c r="H173" i="1" s="1"/>
  <c r="K172" i="1"/>
  <c r="J172" i="1"/>
  <c r="I172" i="1"/>
  <c r="L172" i="1" l="1"/>
  <c r="M172" i="1"/>
  <c r="J173" i="1"/>
  <c r="I173" i="1"/>
  <c r="K173" i="1"/>
  <c r="G174" i="1"/>
  <c r="H174" i="1" s="1"/>
  <c r="F175" i="1"/>
  <c r="F176" i="1" l="1"/>
  <c r="G175" i="1"/>
  <c r="H175" i="1" s="1"/>
  <c r="K174" i="1"/>
  <c r="J174" i="1"/>
  <c r="I174" i="1"/>
  <c r="M173" i="1"/>
  <c r="L173" i="1"/>
  <c r="L174" i="1" l="1"/>
  <c r="M174" i="1"/>
  <c r="J175" i="1"/>
  <c r="K175" i="1"/>
  <c r="I175" i="1"/>
  <c r="G176" i="1"/>
  <c r="H176" i="1" s="1"/>
  <c r="F177" i="1"/>
  <c r="G177" i="1" l="1"/>
  <c r="H177" i="1" s="1"/>
  <c r="F178" i="1"/>
  <c r="I176" i="1"/>
  <c r="K176" i="1"/>
  <c r="J176" i="1"/>
  <c r="M175" i="1"/>
  <c r="L175" i="1"/>
  <c r="L176" i="1" l="1"/>
  <c r="M176" i="1"/>
  <c r="G178" i="1"/>
  <c r="H178" i="1" s="1"/>
  <c r="F179" i="1"/>
  <c r="K177" i="1"/>
  <c r="J177" i="1"/>
  <c r="I177" i="1"/>
  <c r="M177" i="1" l="1"/>
  <c r="L177" i="1"/>
  <c r="G179" i="1"/>
  <c r="H179" i="1" s="1"/>
  <c r="F180" i="1"/>
  <c r="K178" i="1"/>
  <c r="J178" i="1"/>
  <c r="I178" i="1"/>
  <c r="M178" i="1" l="1"/>
  <c r="L178" i="1"/>
  <c r="G180" i="1"/>
  <c r="H180" i="1" s="1"/>
  <c r="F181" i="1"/>
  <c r="J179" i="1"/>
  <c r="I179" i="1"/>
  <c r="K179" i="1"/>
  <c r="L179" i="1" l="1"/>
  <c r="M179" i="1"/>
  <c r="G181" i="1"/>
  <c r="H181" i="1" s="1"/>
  <c r="F182" i="1"/>
  <c r="K180" i="1"/>
  <c r="J180" i="1"/>
  <c r="I180" i="1"/>
  <c r="L180" i="1" l="1"/>
  <c r="M180" i="1"/>
  <c r="G182" i="1"/>
  <c r="H182" i="1" s="1"/>
  <c r="F183" i="1"/>
  <c r="J181" i="1"/>
  <c r="I181" i="1"/>
  <c r="K181" i="1"/>
  <c r="M181" i="1" l="1"/>
  <c r="L181" i="1"/>
  <c r="G183" i="1"/>
  <c r="H183" i="1" s="1"/>
  <c r="F184" i="1"/>
  <c r="K182" i="1"/>
  <c r="J182" i="1"/>
  <c r="I182" i="1"/>
  <c r="L182" i="1" l="1"/>
  <c r="M182" i="1"/>
  <c r="G184" i="1"/>
  <c r="H184" i="1" s="1"/>
  <c r="F185" i="1"/>
  <c r="K183" i="1"/>
  <c r="J183" i="1"/>
  <c r="I183" i="1"/>
  <c r="M183" i="1" l="1"/>
  <c r="L183" i="1"/>
  <c r="G185" i="1"/>
  <c r="H185" i="1" s="1"/>
  <c r="F186" i="1"/>
  <c r="I184" i="1"/>
  <c r="K184" i="1"/>
  <c r="J184" i="1"/>
  <c r="L184" i="1" l="1"/>
  <c r="M184" i="1"/>
  <c r="F187" i="1"/>
  <c r="G186" i="1"/>
  <c r="H186" i="1" s="1"/>
  <c r="J185" i="1"/>
  <c r="I185" i="1"/>
  <c r="K185" i="1"/>
  <c r="M185" i="1" l="1"/>
  <c r="L185" i="1"/>
  <c r="K186" i="1"/>
  <c r="J186" i="1"/>
  <c r="I186" i="1"/>
  <c r="G187" i="1"/>
  <c r="H187" i="1" s="1"/>
  <c r="F188" i="1"/>
  <c r="G188" i="1" l="1"/>
  <c r="H188" i="1" s="1"/>
  <c r="F189" i="1"/>
  <c r="J187" i="1"/>
  <c r="K187" i="1"/>
  <c r="I187" i="1"/>
  <c r="L186" i="1"/>
  <c r="M186" i="1"/>
  <c r="M187" i="1" l="1"/>
  <c r="L187" i="1"/>
  <c r="G189" i="1"/>
  <c r="H189" i="1" s="1"/>
  <c r="F190" i="1"/>
  <c r="K188" i="1"/>
  <c r="J188" i="1"/>
  <c r="I188" i="1"/>
  <c r="L188" i="1" l="1"/>
  <c r="M188" i="1"/>
  <c r="G190" i="1"/>
  <c r="H190" i="1" s="1"/>
  <c r="F191" i="1"/>
  <c r="I189" i="1"/>
  <c r="J189" i="1"/>
  <c r="K189" i="1"/>
  <c r="M189" i="1" l="1"/>
  <c r="L189" i="1"/>
  <c r="G191" i="1"/>
  <c r="H191" i="1" s="1"/>
  <c r="F192" i="1"/>
  <c r="K190" i="1"/>
  <c r="J190" i="1"/>
  <c r="I190" i="1"/>
  <c r="L190" i="1" l="1"/>
  <c r="M190" i="1"/>
  <c r="G192" i="1"/>
  <c r="H192" i="1" s="1"/>
  <c r="F193" i="1"/>
  <c r="J191" i="1"/>
  <c r="I191" i="1"/>
  <c r="K191" i="1"/>
  <c r="M191" i="1" l="1"/>
  <c r="L191" i="1"/>
  <c r="G193" i="1"/>
  <c r="H193" i="1" s="1"/>
  <c r="F194" i="1"/>
  <c r="K192" i="1"/>
  <c r="J192" i="1"/>
  <c r="I192" i="1"/>
  <c r="L192" i="1" l="1"/>
  <c r="M192" i="1"/>
  <c r="G194" i="1"/>
  <c r="H194" i="1" s="1"/>
  <c r="F195" i="1"/>
  <c r="J193" i="1"/>
  <c r="K193" i="1"/>
  <c r="I193" i="1"/>
  <c r="M193" i="1" l="1"/>
  <c r="L193" i="1"/>
  <c r="G195" i="1"/>
  <c r="H195" i="1" s="1"/>
  <c r="F196" i="1"/>
  <c r="J194" i="1"/>
  <c r="I194" i="1"/>
  <c r="K194" i="1"/>
  <c r="L194" i="1" l="1"/>
  <c r="M194" i="1"/>
  <c r="G196" i="1"/>
  <c r="H196" i="1" s="1"/>
  <c r="F197" i="1"/>
  <c r="K195" i="1"/>
  <c r="J195" i="1"/>
  <c r="I195" i="1"/>
  <c r="L195" i="1" l="1"/>
  <c r="M195" i="1"/>
  <c r="G197" i="1"/>
  <c r="H197" i="1" s="1"/>
  <c r="F198" i="1"/>
  <c r="K196" i="1"/>
  <c r="J196" i="1"/>
  <c r="I196" i="1"/>
  <c r="M196" i="1" l="1"/>
  <c r="L196" i="1"/>
  <c r="G198" i="1"/>
  <c r="H198" i="1" s="1"/>
  <c r="F199" i="1"/>
  <c r="J197" i="1"/>
  <c r="I197" i="1"/>
  <c r="K197" i="1"/>
  <c r="M197" i="1" l="1"/>
  <c r="L197" i="1"/>
  <c r="G199" i="1"/>
  <c r="H199" i="1" s="1"/>
  <c r="F200" i="1"/>
  <c r="K198" i="1"/>
  <c r="J198" i="1"/>
  <c r="I198" i="1"/>
  <c r="L198" i="1" l="1"/>
  <c r="M198" i="1"/>
  <c r="G200" i="1"/>
  <c r="H200" i="1" s="1"/>
  <c r="F201" i="1"/>
  <c r="J199" i="1"/>
  <c r="K199" i="1"/>
  <c r="I199" i="1"/>
  <c r="M199" i="1" l="1"/>
  <c r="L199" i="1"/>
  <c r="G201" i="1"/>
  <c r="H201" i="1" s="1"/>
  <c r="F202" i="1"/>
  <c r="J200" i="1"/>
  <c r="K200" i="1"/>
  <c r="I200" i="1"/>
  <c r="L200" i="1" l="1"/>
  <c r="M200" i="1"/>
  <c r="J201" i="1"/>
  <c r="I201" i="1"/>
  <c r="K201" i="1"/>
  <c r="G202" i="1"/>
  <c r="H202" i="1" s="1"/>
  <c r="F203" i="1"/>
  <c r="G203" i="1" l="1"/>
  <c r="H203" i="1" s="1"/>
  <c r="F204" i="1"/>
  <c r="K202" i="1"/>
  <c r="J202" i="1"/>
  <c r="I202" i="1"/>
  <c r="L201" i="1"/>
  <c r="M201" i="1"/>
  <c r="M202" i="1" l="1"/>
  <c r="L202" i="1"/>
  <c r="F205" i="1"/>
  <c r="G204" i="1"/>
  <c r="H204" i="1" s="1"/>
  <c r="J203" i="1"/>
  <c r="I203" i="1"/>
  <c r="K203" i="1"/>
  <c r="M203" i="1" l="1"/>
  <c r="L203" i="1"/>
  <c r="K204" i="1"/>
  <c r="J204" i="1"/>
  <c r="I204" i="1"/>
  <c r="G205" i="1"/>
  <c r="H205" i="1" s="1"/>
  <c r="F206" i="1"/>
  <c r="G206" i="1" l="1"/>
  <c r="H206" i="1" s="1"/>
  <c r="F207" i="1"/>
  <c r="J205" i="1"/>
  <c r="K205" i="1"/>
  <c r="I205" i="1"/>
  <c r="L204" i="1"/>
  <c r="M204" i="1"/>
  <c r="M205" i="1" l="1"/>
  <c r="L205" i="1"/>
  <c r="G207" i="1"/>
  <c r="H207" i="1" s="1"/>
  <c r="F208" i="1"/>
  <c r="J206" i="1"/>
  <c r="K206" i="1"/>
  <c r="I206" i="1"/>
  <c r="L206" i="1" l="1"/>
  <c r="M206" i="1"/>
  <c r="G208" i="1"/>
  <c r="H208" i="1" s="1"/>
  <c r="F209" i="1"/>
  <c r="K207" i="1"/>
  <c r="I207" i="1"/>
  <c r="J207" i="1"/>
  <c r="L207" i="1" l="1"/>
  <c r="M207" i="1"/>
  <c r="G209" i="1"/>
  <c r="H209" i="1" s="1"/>
  <c r="F210" i="1"/>
  <c r="K208" i="1"/>
  <c r="J208" i="1"/>
  <c r="I208" i="1"/>
  <c r="L208" i="1" l="1"/>
  <c r="M208" i="1"/>
  <c r="G210" i="1"/>
  <c r="H210" i="1" s="1"/>
  <c r="F211" i="1"/>
  <c r="J209" i="1"/>
  <c r="I209" i="1"/>
  <c r="K209" i="1"/>
  <c r="M209" i="1" l="1"/>
  <c r="L209" i="1"/>
  <c r="G211" i="1"/>
  <c r="H211" i="1" s="1"/>
  <c r="F212" i="1"/>
  <c r="K210" i="1"/>
  <c r="J210" i="1"/>
  <c r="I210" i="1"/>
  <c r="L210" i="1" l="1"/>
  <c r="M210" i="1"/>
  <c r="G212" i="1"/>
  <c r="H212" i="1" s="1"/>
  <c r="F213" i="1"/>
  <c r="J211" i="1"/>
  <c r="K211" i="1"/>
  <c r="I211" i="1"/>
  <c r="M211" i="1" l="1"/>
  <c r="L211" i="1"/>
  <c r="G213" i="1"/>
  <c r="H213" i="1" s="1"/>
  <c r="F214" i="1"/>
  <c r="J212" i="1"/>
  <c r="I212" i="1"/>
  <c r="K212" i="1"/>
  <c r="L212" i="1" l="1"/>
  <c r="M212" i="1"/>
  <c r="G214" i="1"/>
  <c r="H214" i="1" s="1"/>
  <c r="F215" i="1"/>
  <c r="K213" i="1"/>
  <c r="J213" i="1"/>
  <c r="I213" i="1"/>
  <c r="L213" i="1" l="1"/>
  <c r="M213" i="1"/>
  <c r="G215" i="1"/>
  <c r="H215" i="1" s="1"/>
  <c r="F216" i="1"/>
  <c r="I214" i="1"/>
  <c r="K214" i="1"/>
  <c r="J214" i="1"/>
  <c r="M214" i="1" l="1"/>
  <c r="L214" i="1"/>
  <c r="G216" i="1"/>
  <c r="H216" i="1" s="1"/>
  <c r="F217" i="1"/>
  <c r="J215" i="1"/>
  <c r="I215" i="1"/>
  <c r="K215" i="1"/>
  <c r="M215" i="1" l="1"/>
  <c r="L215" i="1"/>
  <c r="G217" i="1"/>
  <c r="H217" i="1" s="1"/>
  <c r="F218" i="1"/>
  <c r="K216" i="1"/>
  <c r="J216" i="1"/>
  <c r="I216" i="1"/>
  <c r="L216" i="1" l="1"/>
  <c r="M216" i="1"/>
  <c r="G218" i="1"/>
  <c r="H218" i="1" s="1"/>
  <c r="F219" i="1"/>
  <c r="J217" i="1"/>
  <c r="K217" i="1"/>
  <c r="I217" i="1"/>
  <c r="M217" i="1" l="1"/>
  <c r="L217" i="1"/>
  <c r="G219" i="1"/>
  <c r="H219" i="1" s="1"/>
  <c r="F220" i="1"/>
  <c r="K218" i="1"/>
  <c r="J218" i="1"/>
  <c r="I218" i="1"/>
  <c r="L218" i="1" l="1"/>
  <c r="M218" i="1"/>
  <c r="G220" i="1"/>
  <c r="H220" i="1" s="1"/>
  <c r="F221" i="1"/>
  <c r="K219" i="1"/>
  <c r="J219" i="1"/>
  <c r="I219" i="1"/>
  <c r="M219" i="1" l="1"/>
  <c r="L219" i="1"/>
  <c r="G221" i="1"/>
  <c r="H221" i="1" s="1"/>
  <c r="F222" i="1"/>
  <c r="K220" i="1"/>
  <c r="J220" i="1"/>
  <c r="I220" i="1"/>
  <c r="M220" i="1" l="1"/>
  <c r="L220" i="1"/>
  <c r="G222" i="1"/>
  <c r="H222" i="1" s="1"/>
  <c r="F223" i="1"/>
  <c r="J221" i="1"/>
  <c r="I221" i="1"/>
  <c r="K221" i="1"/>
  <c r="M221" i="1" l="1"/>
  <c r="L221" i="1"/>
  <c r="G223" i="1"/>
  <c r="H223" i="1" s="1"/>
  <c r="F224" i="1"/>
  <c r="K222" i="1"/>
  <c r="J222" i="1"/>
  <c r="I222" i="1"/>
  <c r="L222" i="1" l="1"/>
  <c r="M222" i="1"/>
  <c r="G224" i="1"/>
  <c r="H224" i="1" s="1"/>
  <c r="F225" i="1"/>
  <c r="J223" i="1"/>
  <c r="I223" i="1"/>
  <c r="K223" i="1"/>
  <c r="M223" i="1" l="1"/>
  <c r="L223" i="1"/>
  <c r="G225" i="1"/>
  <c r="H225" i="1" s="1"/>
  <c r="F226" i="1"/>
  <c r="K224" i="1"/>
  <c r="J224" i="1"/>
  <c r="I224" i="1"/>
  <c r="L224" i="1" l="1"/>
  <c r="M224" i="1"/>
  <c r="G226" i="1"/>
  <c r="H226" i="1" s="1"/>
  <c r="F227" i="1"/>
  <c r="K225" i="1"/>
  <c r="J225" i="1"/>
  <c r="I225" i="1"/>
  <c r="G227" i="1" l="1"/>
  <c r="H227" i="1" s="1"/>
  <c r="F228" i="1"/>
  <c r="M225" i="1"/>
  <c r="L225" i="1"/>
  <c r="K226" i="1"/>
  <c r="J226" i="1"/>
  <c r="I226" i="1"/>
  <c r="M226" i="1" l="1"/>
  <c r="L226" i="1"/>
  <c r="G228" i="1"/>
  <c r="H228" i="1" s="1"/>
  <c r="F229" i="1"/>
  <c r="J227" i="1"/>
  <c r="I227" i="1"/>
  <c r="K227" i="1"/>
  <c r="M227" i="1" l="1"/>
  <c r="L227" i="1"/>
  <c r="G229" i="1"/>
  <c r="H229" i="1" s="1"/>
  <c r="F230" i="1"/>
  <c r="K228" i="1"/>
  <c r="J228" i="1"/>
  <c r="I228" i="1"/>
  <c r="L228" i="1" l="1"/>
  <c r="M228" i="1"/>
  <c r="G230" i="1"/>
  <c r="H230" i="1" s="1"/>
  <c r="F231" i="1"/>
  <c r="J229" i="1"/>
  <c r="I229" i="1"/>
  <c r="K229" i="1"/>
  <c r="M229" i="1" l="1"/>
  <c r="L229" i="1"/>
  <c r="G231" i="1"/>
  <c r="F232" i="1"/>
  <c r="K230" i="1"/>
  <c r="J230" i="1"/>
  <c r="I230" i="1"/>
  <c r="L230" i="1" l="1"/>
  <c r="M230" i="1"/>
  <c r="G232" i="1"/>
  <c r="H232" i="1" s="1"/>
  <c r="F233" i="1"/>
  <c r="H231" i="1"/>
  <c r="R2" i="1"/>
  <c r="K231" i="1" l="1"/>
  <c r="I231" i="1"/>
  <c r="J231" i="1"/>
  <c r="G233" i="1"/>
  <c r="H233" i="1" s="1"/>
  <c r="F234" i="1"/>
  <c r="K232" i="1"/>
  <c r="J232" i="1"/>
  <c r="I232" i="1"/>
  <c r="M232" i="1" l="1"/>
  <c r="G234" i="1"/>
  <c r="H234" i="1" s="1"/>
  <c r="F235" i="1"/>
  <c r="J233" i="1"/>
  <c r="I233" i="1"/>
  <c r="K233" i="1"/>
  <c r="M231" i="1"/>
  <c r="L231" i="1"/>
  <c r="L232" i="1" s="1"/>
  <c r="M233" i="1" l="1"/>
  <c r="L233" i="1"/>
  <c r="G235" i="1"/>
  <c r="H235" i="1" s="1"/>
  <c r="F236" i="1"/>
  <c r="K234" i="1"/>
  <c r="J234" i="1"/>
  <c r="I234" i="1"/>
  <c r="L234" i="1" l="1"/>
  <c r="M234" i="1"/>
  <c r="G236" i="1"/>
  <c r="H236" i="1" s="1"/>
  <c r="F237" i="1"/>
  <c r="J235" i="1"/>
  <c r="I235" i="1"/>
  <c r="K235" i="1"/>
  <c r="M235" i="1" l="1"/>
  <c r="L235" i="1"/>
  <c r="G237" i="1"/>
  <c r="H237" i="1" s="1"/>
  <c r="F238" i="1"/>
  <c r="K236" i="1"/>
  <c r="J236" i="1"/>
  <c r="I236" i="1"/>
  <c r="L236" i="1" l="1"/>
  <c r="M236" i="1"/>
  <c r="G238" i="1"/>
  <c r="H238" i="1" s="1"/>
  <c r="F239" i="1"/>
  <c r="K237" i="1"/>
  <c r="J237" i="1"/>
  <c r="I237" i="1"/>
  <c r="G239" i="1" l="1"/>
  <c r="H239" i="1" s="1"/>
  <c r="F240" i="1"/>
  <c r="M237" i="1"/>
  <c r="L237" i="1"/>
  <c r="J238" i="1"/>
  <c r="I238" i="1"/>
  <c r="K238" i="1"/>
  <c r="M238" i="1" l="1"/>
  <c r="L238" i="1"/>
  <c r="G240" i="1"/>
  <c r="H240" i="1" s="1"/>
  <c r="F241" i="1"/>
  <c r="J239" i="1"/>
  <c r="I239" i="1"/>
  <c r="K239" i="1"/>
  <c r="M239" i="1" l="1"/>
  <c r="L239" i="1"/>
  <c r="G241" i="1"/>
  <c r="H241" i="1" s="1"/>
  <c r="F242" i="1"/>
  <c r="K240" i="1"/>
  <c r="J240" i="1"/>
  <c r="I240" i="1"/>
  <c r="G242" i="1" l="1"/>
  <c r="H242" i="1" s="1"/>
  <c r="F243" i="1"/>
  <c r="J241" i="1"/>
  <c r="I241" i="1"/>
  <c r="K241" i="1"/>
  <c r="L240" i="1"/>
  <c r="M240" i="1"/>
  <c r="M241" i="1" l="1"/>
  <c r="L241" i="1"/>
  <c r="G243" i="1"/>
  <c r="H243" i="1" s="1"/>
  <c r="F244" i="1"/>
  <c r="K242" i="1"/>
  <c r="J242" i="1"/>
  <c r="I242" i="1"/>
  <c r="G244" i="1" l="1"/>
  <c r="H244" i="1" s="1"/>
  <c r="F245" i="1"/>
  <c r="L242" i="1"/>
  <c r="M242" i="1"/>
  <c r="K243" i="1"/>
  <c r="J243" i="1"/>
  <c r="I243" i="1"/>
  <c r="M243" i="1" l="1"/>
  <c r="L243" i="1"/>
  <c r="F246" i="1"/>
  <c r="G245" i="1"/>
  <c r="H245" i="1" s="1"/>
  <c r="K244" i="1"/>
  <c r="J244" i="1"/>
  <c r="I244" i="1"/>
  <c r="M244" i="1" l="1"/>
  <c r="L244" i="1"/>
  <c r="J245" i="1"/>
  <c r="I245" i="1"/>
  <c r="K245" i="1"/>
  <c r="G246" i="1"/>
  <c r="H246" i="1" s="1"/>
  <c r="F247" i="1"/>
  <c r="G247" i="1" l="1"/>
  <c r="H247" i="1" s="1"/>
  <c r="F248" i="1"/>
  <c r="I246" i="1"/>
  <c r="K246" i="1"/>
  <c r="J246" i="1"/>
  <c r="L245" i="1"/>
  <c r="M245" i="1"/>
  <c r="M246" i="1" l="1"/>
  <c r="L246" i="1"/>
  <c r="G248" i="1"/>
  <c r="H248" i="1" s="1"/>
  <c r="F249" i="1"/>
  <c r="I247" i="1"/>
  <c r="J247" i="1"/>
  <c r="K247" i="1"/>
  <c r="M247" i="1" l="1"/>
  <c r="L247" i="1"/>
  <c r="G249" i="1"/>
  <c r="H249" i="1" s="1"/>
  <c r="F250" i="1"/>
  <c r="K248" i="1"/>
  <c r="J248" i="1"/>
  <c r="I248" i="1"/>
  <c r="M248" i="1" l="1"/>
  <c r="L248" i="1"/>
  <c r="G250" i="1"/>
  <c r="H250" i="1" s="1"/>
  <c r="F251" i="1"/>
  <c r="K249" i="1"/>
  <c r="I249" i="1"/>
  <c r="J249" i="1"/>
  <c r="M249" i="1" l="1"/>
  <c r="L249" i="1"/>
  <c r="G251" i="1"/>
  <c r="H251" i="1" s="1"/>
  <c r="F252" i="1"/>
  <c r="K250" i="1"/>
  <c r="J250" i="1"/>
  <c r="I250" i="1"/>
  <c r="L250" i="1" l="1"/>
  <c r="M250" i="1"/>
  <c r="G252" i="1"/>
  <c r="H252" i="1" s="1"/>
  <c r="F253" i="1"/>
  <c r="K251" i="1"/>
  <c r="J251" i="1"/>
  <c r="I251" i="1"/>
  <c r="G253" i="1" l="1"/>
  <c r="H253" i="1" s="1"/>
  <c r="F254" i="1"/>
  <c r="M251" i="1"/>
  <c r="L251" i="1"/>
  <c r="J252" i="1"/>
  <c r="K252" i="1"/>
  <c r="I252" i="1"/>
  <c r="M252" i="1" l="1"/>
  <c r="L252" i="1"/>
  <c r="G254" i="1"/>
  <c r="H254" i="1" s="1"/>
  <c r="F255" i="1"/>
  <c r="I253" i="1"/>
  <c r="J253" i="1"/>
  <c r="K253" i="1"/>
  <c r="M253" i="1" l="1"/>
  <c r="L253" i="1"/>
  <c r="G255" i="1"/>
  <c r="H255" i="1" s="1"/>
  <c r="F256" i="1"/>
  <c r="K254" i="1"/>
  <c r="J254" i="1"/>
  <c r="I254" i="1"/>
  <c r="M254" i="1" l="1"/>
  <c r="L254" i="1"/>
  <c r="G256" i="1"/>
  <c r="H256" i="1" s="1"/>
  <c r="F257" i="1"/>
  <c r="J255" i="1"/>
  <c r="I255" i="1"/>
  <c r="K255" i="1"/>
  <c r="M255" i="1" l="1"/>
  <c r="L255" i="1"/>
  <c r="G257" i="1"/>
  <c r="H257" i="1" s="1"/>
  <c r="F258" i="1"/>
  <c r="K256" i="1"/>
  <c r="J256" i="1"/>
  <c r="I256" i="1"/>
  <c r="M256" i="1" l="1"/>
  <c r="L256" i="1"/>
  <c r="G258" i="1"/>
  <c r="H258" i="1" s="1"/>
  <c r="F259" i="1"/>
  <c r="J257" i="1"/>
  <c r="I257" i="1"/>
  <c r="K257" i="1"/>
  <c r="M257" i="1" l="1"/>
  <c r="L257" i="1"/>
  <c r="G259" i="1"/>
  <c r="H259" i="1" s="1"/>
  <c r="F260" i="1"/>
  <c r="K258" i="1"/>
  <c r="J258" i="1"/>
  <c r="I258" i="1"/>
  <c r="M258" i="1" l="1"/>
  <c r="L258" i="1"/>
  <c r="G260" i="1"/>
  <c r="H260" i="1" s="1"/>
  <c r="F261" i="1"/>
  <c r="K259" i="1"/>
  <c r="J259" i="1"/>
  <c r="I259" i="1"/>
  <c r="M259" i="1" l="1"/>
  <c r="L259" i="1"/>
  <c r="F262" i="1"/>
  <c r="G261" i="1"/>
  <c r="H261" i="1" s="1"/>
  <c r="K260" i="1"/>
  <c r="J260" i="1"/>
  <c r="I260" i="1"/>
  <c r="M260" i="1" l="1"/>
  <c r="L260" i="1"/>
  <c r="K261" i="1"/>
  <c r="J261" i="1"/>
  <c r="I261" i="1"/>
  <c r="G262" i="1"/>
  <c r="H262" i="1" s="1"/>
  <c r="F263" i="1"/>
  <c r="G263" i="1" l="1"/>
  <c r="H263" i="1" s="1"/>
  <c r="F264" i="1"/>
  <c r="K262" i="1"/>
  <c r="J262" i="1"/>
  <c r="I262" i="1"/>
  <c r="M261" i="1"/>
  <c r="L261" i="1"/>
  <c r="L262" i="1" l="1"/>
  <c r="M262" i="1"/>
  <c r="G264" i="1"/>
  <c r="H264" i="1" s="1"/>
  <c r="F265" i="1"/>
  <c r="K263" i="1"/>
  <c r="J263" i="1"/>
  <c r="I263" i="1"/>
  <c r="M263" i="1" l="1"/>
  <c r="L263" i="1"/>
  <c r="G265" i="1"/>
  <c r="H265" i="1" s="1"/>
  <c r="F266" i="1"/>
  <c r="J264" i="1"/>
  <c r="K264" i="1"/>
  <c r="I264" i="1"/>
  <c r="L264" i="1" l="1"/>
  <c r="M264" i="1"/>
  <c r="G266" i="1"/>
  <c r="H266" i="1" s="1"/>
  <c r="F267" i="1"/>
  <c r="J265" i="1"/>
  <c r="I265" i="1"/>
  <c r="K265" i="1"/>
  <c r="L265" i="1" l="1"/>
  <c r="M265" i="1"/>
  <c r="G267" i="1"/>
  <c r="H267" i="1" s="1"/>
  <c r="F268" i="1"/>
  <c r="K266" i="1"/>
  <c r="J266" i="1"/>
  <c r="I266" i="1"/>
  <c r="M266" i="1" l="1"/>
  <c r="L266" i="1"/>
  <c r="G268" i="1"/>
  <c r="H268" i="1" s="1"/>
  <c r="F269" i="1"/>
  <c r="K267" i="1"/>
  <c r="J267" i="1"/>
  <c r="I267" i="1"/>
  <c r="M267" i="1" l="1"/>
  <c r="L267" i="1"/>
  <c r="G269" i="1"/>
  <c r="H269" i="1" s="1"/>
  <c r="F270" i="1"/>
  <c r="K268" i="1"/>
  <c r="J268" i="1"/>
  <c r="I268" i="1"/>
  <c r="M268" i="1" l="1"/>
  <c r="L268" i="1"/>
  <c r="G270" i="1"/>
  <c r="H270" i="1" s="1"/>
  <c r="F271" i="1"/>
  <c r="J269" i="1"/>
  <c r="K269" i="1"/>
  <c r="I269" i="1"/>
  <c r="L269" i="1" l="1"/>
  <c r="M269" i="1"/>
  <c r="F272" i="1"/>
  <c r="G271" i="1"/>
  <c r="H271" i="1" s="1"/>
  <c r="J270" i="1"/>
  <c r="K270" i="1"/>
  <c r="I270" i="1"/>
  <c r="L270" i="1" l="1"/>
  <c r="M270" i="1"/>
  <c r="K271" i="1"/>
  <c r="J271" i="1"/>
  <c r="I271" i="1"/>
  <c r="G272" i="1"/>
  <c r="H272" i="1" s="1"/>
  <c r="F273" i="1"/>
  <c r="G273" i="1" l="1"/>
  <c r="H273" i="1" s="1"/>
  <c r="F274" i="1"/>
  <c r="I272" i="1"/>
  <c r="K272" i="1"/>
  <c r="J272" i="1"/>
  <c r="L271" i="1"/>
  <c r="M271" i="1"/>
  <c r="L272" i="1" l="1"/>
  <c r="M272" i="1"/>
  <c r="G274" i="1"/>
  <c r="H274" i="1" s="1"/>
  <c r="F275" i="1"/>
  <c r="K273" i="1"/>
  <c r="J273" i="1"/>
  <c r="I273" i="1"/>
  <c r="K274" i="1" l="1"/>
  <c r="J274" i="1"/>
  <c r="I274" i="1"/>
  <c r="M273" i="1"/>
  <c r="L273" i="1"/>
  <c r="G275" i="1"/>
  <c r="H275" i="1" s="1"/>
  <c r="F276" i="1"/>
  <c r="G276" i="1" l="1"/>
  <c r="H276" i="1" s="1"/>
  <c r="F277" i="1"/>
  <c r="J275" i="1"/>
  <c r="I275" i="1"/>
  <c r="K275" i="1"/>
  <c r="M274" i="1"/>
  <c r="L274" i="1"/>
  <c r="M275" i="1" l="1"/>
  <c r="L275" i="1"/>
  <c r="G277" i="1"/>
  <c r="H277" i="1" s="1"/>
  <c r="F278" i="1"/>
  <c r="J276" i="1"/>
  <c r="K276" i="1"/>
  <c r="I276" i="1"/>
  <c r="L276" i="1" l="1"/>
  <c r="M276" i="1"/>
  <c r="G278" i="1"/>
  <c r="H278" i="1" s="1"/>
  <c r="F279" i="1"/>
  <c r="K277" i="1"/>
  <c r="J277" i="1"/>
  <c r="I277" i="1"/>
  <c r="L277" i="1" l="1"/>
  <c r="M277" i="1"/>
  <c r="G279" i="1"/>
  <c r="H279" i="1" s="1"/>
  <c r="F280" i="1"/>
  <c r="J278" i="1"/>
  <c r="I278" i="1"/>
  <c r="K278" i="1"/>
  <c r="M278" i="1" l="1"/>
  <c r="L278" i="1"/>
  <c r="G280" i="1"/>
  <c r="H280" i="1" s="1"/>
  <c r="F281" i="1"/>
  <c r="K279" i="1"/>
  <c r="J279" i="1"/>
  <c r="I279" i="1"/>
  <c r="M279" i="1" l="1"/>
  <c r="L279" i="1"/>
  <c r="G281" i="1"/>
  <c r="H281" i="1" s="1"/>
  <c r="F282" i="1"/>
  <c r="K280" i="1"/>
  <c r="J280" i="1"/>
  <c r="I280" i="1"/>
  <c r="M280" i="1" l="1"/>
  <c r="L280" i="1"/>
  <c r="F283" i="1"/>
  <c r="G282" i="1"/>
  <c r="H282" i="1" s="1"/>
  <c r="J281" i="1"/>
  <c r="I281" i="1"/>
  <c r="K281" i="1"/>
  <c r="M281" i="1" l="1"/>
  <c r="L281" i="1"/>
  <c r="K282" i="1"/>
  <c r="J282" i="1"/>
  <c r="I282" i="1"/>
  <c r="G283" i="1"/>
  <c r="H283" i="1" s="1"/>
  <c r="F284" i="1"/>
  <c r="G284" i="1" l="1"/>
  <c r="H284" i="1" s="1"/>
  <c r="F285" i="1"/>
  <c r="K283" i="1"/>
  <c r="J283" i="1"/>
  <c r="I283" i="1"/>
  <c r="L282" i="1"/>
  <c r="M282" i="1"/>
  <c r="M283" i="1" l="1"/>
  <c r="L283" i="1"/>
  <c r="G285" i="1"/>
  <c r="H285" i="1" s="1"/>
  <c r="F286" i="1"/>
  <c r="K284" i="1"/>
  <c r="J284" i="1"/>
  <c r="I284" i="1"/>
  <c r="M284" i="1" l="1"/>
  <c r="L284" i="1"/>
  <c r="G286" i="1"/>
  <c r="H286" i="1" s="1"/>
  <c r="F287" i="1"/>
  <c r="J285" i="1"/>
  <c r="I285" i="1"/>
  <c r="K285" i="1"/>
  <c r="L285" i="1" l="1"/>
  <c r="M285" i="1"/>
  <c r="G287" i="1"/>
  <c r="H287" i="1" s="1"/>
  <c r="F288" i="1"/>
  <c r="K286" i="1"/>
  <c r="J286" i="1"/>
  <c r="I286" i="1"/>
  <c r="M286" i="1" l="1"/>
  <c r="L286" i="1"/>
  <c r="F289" i="1"/>
  <c r="G288" i="1"/>
  <c r="H288" i="1" s="1"/>
  <c r="J287" i="1"/>
  <c r="I287" i="1"/>
  <c r="K287" i="1"/>
  <c r="M287" i="1" l="1"/>
  <c r="L287" i="1"/>
  <c r="K288" i="1"/>
  <c r="J288" i="1"/>
  <c r="I288" i="1"/>
  <c r="G289" i="1"/>
  <c r="H289" i="1" s="1"/>
  <c r="F290" i="1"/>
  <c r="G290" i="1" l="1"/>
  <c r="H290" i="1" s="1"/>
  <c r="F291" i="1"/>
  <c r="K289" i="1"/>
  <c r="J289" i="1"/>
  <c r="I289" i="1"/>
  <c r="L288" i="1"/>
  <c r="M288" i="1"/>
  <c r="M289" i="1" l="1"/>
  <c r="L289" i="1"/>
  <c r="G291" i="1"/>
  <c r="H291" i="1" s="1"/>
  <c r="F292" i="1"/>
  <c r="K290" i="1"/>
  <c r="J290" i="1"/>
  <c r="I290" i="1"/>
  <c r="G292" i="1" l="1"/>
  <c r="H292" i="1" s="1"/>
  <c r="F293" i="1"/>
  <c r="M290" i="1"/>
  <c r="L290" i="1"/>
  <c r="K291" i="1"/>
  <c r="J291" i="1"/>
  <c r="I291" i="1"/>
  <c r="M291" i="1" l="1"/>
  <c r="L291" i="1"/>
  <c r="G293" i="1"/>
  <c r="H293" i="1" s="1"/>
  <c r="F294" i="1"/>
  <c r="K292" i="1"/>
  <c r="J292" i="1"/>
  <c r="I292" i="1"/>
  <c r="M292" i="1" l="1"/>
  <c r="L292" i="1"/>
  <c r="G294" i="1"/>
  <c r="H294" i="1" s="1"/>
  <c r="F295" i="1"/>
  <c r="J293" i="1"/>
  <c r="I293" i="1"/>
  <c r="K293" i="1"/>
  <c r="M293" i="1" l="1"/>
  <c r="L293" i="1"/>
  <c r="F296" i="1"/>
  <c r="G295" i="1"/>
  <c r="H295" i="1" s="1"/>
  <c r="K294" i="1"/>
  <c r="J294" i="1"/>
  <c r="I294" i="1"/>
  <c r="L294" i="1" l="1"/>
  <c r="M294" i="1"/>
  <c r="K295" i="1"/>
  <c r="J295" i="1"/>
  <c r="I295" i="1"/>
  <c r="G296" i="1"/>
  <c r="H296" i="1" s="1"/>
  <c r="F297" i="1"/>
  <c r="G297" i="1" l="1"/>
  <c r="H297" i="1" s="1"/>
  <c r="F298" i="1"/>
  <c r="I296" i="1"/>
  <c r="K296" i="1"/>
  <c r="J296" i="1"/>
  <c r="M295" i="1"/>
  <c r="L295" i="1"/>
  <c r="M296" i="1" l="1"/>
  <c r="L296" i="1"/>
  <c r="G298" i="1"/>
  <c r="H298" i="1" s="1"/>
  <c r="F299" i="1"/>
  <c r="K297" i="1"/>
  <c r="J297" i="1"/>
  <c r="I297" i="1"/>
  <c r="M297" i="1" l="1"/>
  <c r="L297" i="1"/>
  <c r="G299" i="1"/>
  <c r="H299" i="1" s="1"/>
  <c r="F300" i="1"/>
  <c r="K298" i="1"/>
  <c r="J298" i="1"/>
  <c r="I298" i="1"/>
  <c r="M298" i="1" l="1"/>
  <c r="L298" i="1"/>
  <c r="G300" i="1"/>
  <c r="H300" i="1" s="1"/>
  <c r="F301" i="1"/>
  <c r="J299" i="1"/>
  <c r="I299" i="1"/>
  <c r="K299" i="1"/>
  <c r="M299" i="1" l="1"/>
  <c r="L299" i="1"/>
  <c r="F302" i="1"/>
  <c r="G301" i="1"/>
  <c r="H301" i="1" s="1"/>
  <c r="K300" i="1"/>
  <c r="J300" i="1"/>
  <c r="I300" i="1"/>
  <c r="L300" i="1" l="1"/>
  <c r="M300" i="1"/>
  <c r="K301" i="1"/>
  <c r="J301" i="1"/>
  <c r="I301" i="1"/>
  <c r="G302" i="1"/>
  <c r="H302" i="1" s="1"/>
  <c r="F303" i="1"/>
  <c r="G303" i="1" l="1"/>
  <c r="H303" i="1" s="1"/>
  <c r="F304" i="1"/>
  <c r="J302" i="1"/>
  <c r="K302" i="1"/>
  <c r="I302" i="1"/>
  <c r="M301" i="1"/>
  <c r="L301" i="1"/>
  <c r="M302" i="1" l="1"/>
  <c r="L302" i="1"/>
  <c r="G304" i="1"/>
  <c r="H304" i="1" s="1"/>
  <c r="F305" i="1"/>
  <c r="K303" i="1"/>
  <c r="J303" i="1"/>
  <c r="I303" i="1"/>
  <c r="L303" i="1" l="1"/>
  <c r="M303" i="1"/>
  <c r="G305" i="1"/>
  <c r="H305" i="1" s="1"/>
  <c r="F306" i="1"/>
  <c r="K304" i="1"/>
  <c r="J304" i="1"/>
  <c r="I304" i="1"/>
  <c r="M304" i="1" l="1"/>
  <c r="L304" i="1"/>
  <c r="G306" i="1"/>
  <c r="H306" i="1" s="1"/>
  <c r="F307" i="1"/>
  <c r="J305" i="1"/>
  <c r="I305" i="1"/>
  <c r="K305" i="1"/>
  <c r="M305" i="1" l="1"/>
  <c r="L305" i="1"/>
  <c r="F308" i="1"/>
  <c r="G307" i="1"/>
  <c r="H307" i="1" s="1"/>
  <c r="K306" i="1"/>
  <c r="J306" i="1"/>
  <c r="I306" i="1"/>
  <c r="L306" i="1" l="1"/>
  <c r="M306" i="1"/>
  <c r="K307" i="1"/>
  <c r="J307" i="1"/>
  <c r="I307" i="1"/>
  <c r="G308" i="1"/>
  <c r="H308" i="1" s="1"/>
  <c r="F309" i="1"/>
  <c r="G309" i="1" l="1"/>
  <c r="H309" i="1" s="1"/>
  <c r="F310" i="1"/>
  <c r="J308" i="1"/>
  <c r="I308" i="1"/>
  <c r="K308" i="1"/>
  <c r="M307" i="1"/>
  <c r="L307" i="1"/>
  <c r="M308" i="1" l="1"/>
  <c r="L308" i="1"/>
  <c r="G310" i="1"/>
  <c r="H310" i="1" s="1"/>
  <c r="F311" i="1"/>
  <c r="K309" i="1"/>
  <c r="J309" i="1"/>
  <c r="I309" i="1"/>
  <c r="L309" i="1" l="1"/>
  <c r="M309" i="1"/>
  <c r="G311" i="1"/>
  <c r="H311" i="1" s="1"/>
  <c r="F312" i="1"/>
  <c r="K310" i="1"/>
  <c r="J310" i="1"/>
  <c r="I310" i="1"/>
  <c r="M310" i="1" l="1"/>
  <c r="L310" i="1"/>
  <c r="G312" i="1"/>
  <c r="H312" i="1" s="1"/>
  <c r="F313" i="1"/>
  <c r="J311" i="1"/>
  <c r="I311" i="1"/>
  <c r="K311" i="1"/>
  <c r="M311" i="1" l="1"/>
  <c r="L311" i="1"/>
  <c r="F314" i="1"/>
  <c r="G313" i="1"/>
  <c r="H313" i="1" s="1"/>
  <c r="K312" i="1"/>
  <c r="J312" i="1"/>
  <c r="I312" i="1"/>
  <c r="L312" i="1" l="1"/>
  <c r="M312" i="1"/>
  <c r="K313" i="1"/>
  <c r="J313" i="1"/>
  <c r="I313" i="1"/>
  <c r="G314" i="1"/>
  <c r="H314" i="1" s="1"/>
  <c r="F315" i="1"/>
  <c r="G315" i="1" l="1"/>
  <c r="H315" i="1" s="1"/>
  <c r="F316" i="1"/>
  <c r="K314" i="1"/>
  <c r="J314" i="1"/>
  <c r="I314" i="1"/>
  <c r="M313" i="1"/>
  <c r="L313" i="1"/>
  <c r="M314" i="1" l="1"/>
  <c r="L314" i="1"/>
  <c r="G316" i="1"/>
  <c r="H316" i="1" s="1"/>
  <c r="F317" i="1"/>
  <c r="K315" i="1"/>
  <c r="J315" i="1"/>
  <c r="I315" i="1"/>
  <c r="M315" i="1" l="1"/>
  <c r="L315" i="1"/>
  <c r="G317" i="1"/>
  <c r="H317" i="1" s="1"/>
  <c r="F318" i="1"/>
  <c r="K316" i="1"/>
  <c r="J316" i="1"/>
  <c r="I316" i="1"/>
  <c r="L316" i="1" l="1"/>
  <c r="M316" i="1"/>
  <c r="G318" i="1"/>
  <c r="H318" i="1" s="1"/>
  <c r="F319" i="1"/>
  <c r="J317" i="1"/>
  <c r="I317" i="1"/>
  <c r="K317" i="1"/>
  <c r="M317" i="1" l="1"/>
  <c r="L317" i="1"/>
  <c r="G319" i="1"/>
  <c r="H319" i="1" s="1"/>
  <c r="F320" i="1"/>
  <c r="K318" i="1"/>
  <c r="J318" i="1"/>
  <c r="I318" i="1"/>
  <c r="L318" i="1" l="1"/>
  <c r="M318" i="1"/>
  <c r="G320" i="1"/>
  <c r="H320" i="1" s="1"/>
  <c r="F321" i="1"/>
  <c r="K319" i="1"/>
  <c r="J319" i="1"/>
  <c r="I319" i="1"/>
  <c r="M319" i="1" l="1"/>
  <c r="L319" i="1"/>
  <c r="G321" i="1"/>
  <c r="H321" i="1" s="1"/>
  <c r="F322" i="1"/>
  <c r="K320" i="1"/>
  <c r="J320" i="1"/>
  <c r="I320" i="1"/>
  <c r="M320" i="1" l="1"/>
  <c r="L320" i="1"/>
  <c r="G322" i="1"/>
  <c r="H322" i="1" s="1"/>
  <c r="F323" i="1"/>
  <c r="K321" i="1"/>
  <c r="I321" i="1"/>
  <c r="J321" i="1"/>
  <c r="M321" i="1" l="1"/>
  <c r="L321" i="1"/>
  <c r="G323" i="1"/>
  <c r="H323" i="1" s="1"/>
  <c r="F324" i="1"/>
  <c r="K322" i="1"/>
  <c r="J322" i="1"/>
  <c r="I322" i="1"/>
  <c r="G324" i="1" l="1"/>
  <c r="H324" i="1" s="1"/>
  <c r="F325" i="1"/>
  <c r="M322" i="1"/>
  <c r="L322" i="1"/>
  <c r="J323" i="1"/>
  <c r="I323" i="1"/>
  <c r="K323" i="1"/>
  <c r="M323" i="1" l="1"/>
  <c r="L323" i="1"/>
  <c r="G325" i="1"/>
  <c r="H325" i="1" s="1"/>
  <c r="F326" i="1"/>
  <c r="K324" i="1"/>
  <c r="J324" i="1"/>
  <c r="I324" i="1"/>
  <c r="L324" i="1" l="1"/>
  <c r="M324" i="1"/>
  <c r="G326" i="1"/>
  <c r="H326" i="1" s="1"/>
  <c r="F327" i="1"/>
  <c r="K325" i="1"/>
  <c r="J325" i="1"/>
  <c r="I325" i="1"/>
  <c r="M325" i="1" l="1"/>
  <c r="L325" i="1"/>
  <c r="G327" i="1"/>
  <c r="H327" i="1" s="1"/>
  <c r="F328" i="1"/>
  <c r="K326" i="1"/>
  <c r="J326" i="1"/>
  <c r="I326" i="1"/>
  <c r="M326" i="1" l="1"/>
  <c r="L326" i="1"/>
  <c r="G328" i="1"/>
  <c r="H328" i="1" s="1"/>
  <c r="F329" i="1"/>
  <c r="K327" i="1"/>
  <c r="J327" i="1"/>
  <c r="I327" i="1"/>
  <c r="M327" i="1" l="1"/>
  <c r="L327" i="1"/>
  <c r="G329" i="1"/>
  <c r="H329" i="1" s="1"/>
  <c r="F330" i="1"/>
  <c r="K328" i="1"/>
  <c r="J328" i="1"/>
  <c r="I328" i="1"/>
  <c r="M328" i="1" l="1"/>
  <c r="L328" i="1"/>
  <c r="G330" i="1"/>
  <c r="H330" i="1" s="1"/>
  <c r="F331" i="1"/>
  <c r="J329" i="1"/>
  <c r="I329" i="1"/>
  <c r="K329" i="1"/>
  <c r="M329" i="1" l="1"/>
  <c r="L329" i="1"/>
  <c r="G331" i="1"/>
  <c r="H331" i="1" s="1"/>
  <c r="F332" i="1"/>
  <c r="K330" i="1"/>
  <c r="J330" i="1"/>
  <c r="I330" i="1"/>
  <c r="L330" i="1" l="1"/>
  <c r="M330" i="1"/>
  <c r="G332" i="1"/>
  <c r="H332" i="1" s="1"/>
  <c r="F333" i="1"/>
  <c r="K331" i="1"/>
  <c r="J331" i="1"/>
  <c r="I331" i="1"/>
  <c r="M331" i="1" l="1"/>
  <c r="L331" i="1"/>
  <c r="G333" i="1"/>
  <c r="H333" i="1" s="1"/>
  <c r="F334" i="1"/>
  <c r="K332" i="1"/>
  <c r="J332" i="1"/>
  <c r="I332" i="1"/>
  <c r="M332" i="1" l="1"/>
  <c r="L332" i="1"/>
  <c r="G334" i="1"/>
  <c r="H334" i="1" s="1"/>
  <c r="F335" i="1"/>
  <c r="K333" i="1"/>
  <c r="J333" i="1"/>
  <c r="I333" i="1"/>
  <c r="M333" i="1" l="1"/>
  <c r="L333" i="1"/>
  <c r="G335" i="1"/>
  <c r="H335" i="1" s="1"/>
  <c r="F336" i="1"/>
  <c r="I334" i="1"/>
  <c r="K334" i="1"/>
  <c r="J334" i="1"/>
  <c r="M334" i="1" l="1"/>
  <c r="L334" i="1"/>
  <c r="G336" i="1"/>
  <c r="H336" i="1" s="1"/>
  <c r="F337" i="1"/>
  <c r="J335" i="1"/>
  <c r="I335" i="1"/>
  <c r="K335" i="1"/>
  <c r="G337" i="1" l="1"/>
  <c r="H337" i="1" s="1"/>
  <c r="F338" i="1"/>
  <c r="M335" i="1"/>
  <c r="L335" i="1"/>
  <c r="K336" i="1"/>
  <c r="J336" i="1"/>
  <c r="I336" i="1"/>
  <c r="L336" i="1" l="1"/>
  <c r="M336" i="1"/>
  <c r="G338" i="1"/>
  <c r="H338" i="1" s="1"/>
  <c r="F339" i="1"/>
  <c r="K337" i="1"/>
  <c r="J337" i="1"/>
  <c r="I337" i="1"/>
  <c r="M337" i="1" l="1"/>
  <c r="L337" i="1"/>
  <c r="G339" i="1"/>
  <c r="H339" i="1" s="1"/>
  <c r="F340" i="1"/>
  <c r="K338" i="1"/>
  <c r="J338" i="1"/>
  <c r="I338" i="1"/>
  <c r="M338" i="1" l="1"/>
  <c r="L338" i="1"/>
  <c r="G340" i="1"/>
  <c r="H340" i="1" s="1"/>
  <c r="F341" i="1"/>
  <c r="K339" i="1"/>
  <c r="I339" i="1"/>
  <c r="J339" i="1"/>
  <c r="M339" i="1" l="1"/>
  <c r="L339" i="1"/>
  <c r="G341" i="1"/>
  <c r="H341" i="1" s="1"/>
  <c r="F342" i="1"/>
  <c r="K340" i="1"/>
  <c r="J340" i="1"/>
  <c r="I340" i="1"/>
  <c r="M340" i="1" l="1"/>
  <c r="L340" i="1"/>
  <c r="G342" i="1"/>
  <c r="H342" i="1" s="1"/>
  <c r="F343" i="1"/>
  <c r="J341" i="1"/>
  <c r="I341" i="1"/>
  <c r="K341" i="1"/>
  <c r="M341" i="1" l="1"/>
  <c r="L341" i="1"/>
  <c r="G343" i="1"/>
  <c r="H343" i="1" s="1"/>
  <c r="F344" i="1"/>
  <c r="K342" i="1"/>
  <c r="J342" i="1"/>
  <c r="I342" i="1"/>
  <c r="L342" i="1" l="1"/>
  <c r="M342" i="1"/>
  <c r="G344" i="1"/>
  <c r="H344" i="1" s="1"/>
  <c r="F345" i="1"/>
  <c r="K343" i="1"/>
  <c r="J343" i="1"/>
  <c r="I343" i="1"/>
  <c r="M343" i="1" l="1"/>
  <c r="L343" i="1"/>
  <c r="K344" i="1"/>
  <c r="J344" i="1"/>
  <c r="I344" i="1"/>
  <c r="G345" i="1"/>
  <c r="H345" i="1" s="1"/>
  <c r="F346" i="1"/>
  <c r="G346" i="1" l="1"/>
  <c r="H346" i="1" s="1"/>
  <c r="F347" i="1"/>
  <c r="K345" i="1"/>
  <c r="J345" i="1"/>
  <c r="I345" i="1"/>
  <c r="M344" i="1"/>
  <c r="L344" i="1"/>
  <c r="M345" i="1" l="1"/>
  <c r="L345" i="1"/>
  <c r="G347" i="1"/>
  <c r="H347" i="1" s="1"/>
  <c r="F348" i="1"/>
  <c r="K346" i="1"/>
  <c r="J346" i="1"/>
  <c r="I346" i="1"/>
  <c r="M346" i="1" l="1"/>
  <c r="L346" i="1"/>
  <c r="G348" i="1"/>
  <c r="H348" i="1" s="1"/>
  <c r="F349" i="1"/>
  <c r="J347" i="1"/>
  <c r="I347" i="1"/>
  <c r="K347" i="1"/>
  <c r="M347" i="1" l="1"/>
  <c r="L347" i="1"/>
  <c r="G349" i="1"/>
  <c r="H349" i="1" s="1"/>
  <c r="F350" i="1"/>
  <c r="K348" i="1"/>
  <c r="J348" i="1"/>
  <c r="I348" i="1"/>
  <c r="M348" i="1" l="1"/>
  <c r="L348" i="1"/>
  <c r="F351" i="1"/>
  <c r="G350" i="1"/>
  <c r="H350" i="1" s="1"/>
  <c r="K349" i="1"/>
  <c r="J349" i="1"/>
  <c r="I349" i="1"/>
  <c r="M349" i="1" l="1"/>
  <c r="L349" i="1"/>
  <c r="K350" i="1"/>
  <c r="J350" i="1"/>
  <c r="I350" i="1"/>
  <c r="G351" i="1"/>
  <c r="H351" i="1" s="1"/>
  <c r="F352" i="1"/>
  <c r="G352" i="1" l="1"/>
  <c r="H352" i="1" s="1"/>
  <c r="F353" i="1"/>
  <c r="K351" i="1"/>
  <c r="J351" i="1"/>
  <c r="I351" i="1"/>
  <c r="M350" i="1"/>
  <c r="L350" i="1"/>
  <c r="M351" i="1" l="1"/>
  <c r="L351" i="1"/>
  <c r="G353" i="1"/>
  <c r="H353" i="1" s="1"/>
  <c r="F354" i="1"/>
  <c r="I352" i="1"/>
  <c r="K352" i="1"/>
  <c r="J352" i="1"/>
  <c r="L352" i="1" l="1"/>
  <c r="M352" i="1"/>
  <c r="F355" i="1"/>
  <c r="G354" i="1"/>
  <c r="H354" i="1" s="1"/>
  <c r="K353" i="1"/>
  <c r="J353" i="1"/>
  <c r="I353" i="1"/>
  <c r="M353" i="1" l="1"/>
  <c r="L353" i="1"/>
  <c r="K354" i="1"/>
  <c r="J354" i="1"/>
  <c r="I354" i="1"/>
  <c r="G355" i="1"/>
  <c r="H355" i="1" s="1"/>
  <c r="F356" i="1"/>
  <c r="G356" i="1" l="1"/>
  <c r="H356" i="1" s="1"/>
  <c r="F357" i="1"/>
  <c r="K355" i="1"/>
  <c r="J355" i="1"/>
  <c r="I355" i="1"/>
  <c r="M354" i="1"/>
  <c r="L354" i="1"/>
  <c r="M355" i="1" l="1"/>
  <c r="L355" i="1"/>
  <c r="G357" i="1"/>
  <c r="H357" i="1" s="1"/>
  <c r="F358" i="1"/>
  <c r="I356" i="1"/>
  <c r="K356" i="1"/>
  <c r="J356" i="1"/>
  <c r="M356" i="1" l="1"/>
  <c r="L356" i="1"/>
  <c r="K357" i="1"/>
  <c r="J357" i="1"/>
  <c r="I357" i="1"/>
  <c r="G358" i="1"/>
  <c r="H358" i="1" s="1"/>
  <c r="F359" i="1"/>
  <c r="G359" i="1" l="1"/>
  <c r="H359" i="1" s="1"/>
  <c r="F360" i="1"/>
  <c r="I358" i="1"/>
  <c r="K358" i="1"/>
  <c r="J358" i="1"/>
  <c r="L357" i="1"/>
  <c r="M357" i="1"/>
  <c r="M358" i="1" l="1"/>
  <c r="L358" i="1"/>
  <c r="G360" i="1"/>
  <c r="H360" i="1" s="1"/>
  <c r="F361" i="1"/>
  <c r="K359" i="1"/>
  <c r="J359" i="1"/>
  <c r="I359" i="1"/>
  <c r="M359" i="1" l="1"/>
  <c r="L359" i="1"/>
  <c r="G361" i="1"/>
  <c r="H361" i="1" s="1"/>
  <c r="F362" i="1"/>
  <c r="I360" i="1"/>
  <c r="J360" i="1"/>
  <c r="K360" i="1"/>
  <c r="M360" i="1" l="1"/>
  <c r="L360" i="1"/>
  <c r="G362" i="1"/>
  <c r="H362" i="1" s="1"/>
  <c r="F363" i="1"/>
  <c r="K361" i="1"/>
  <c r="J361" i="1"/>
  <c r="I361" i="1"/>
  <c r="M361" i="1" l="1"/>
  <c r="L361" i="1"/>
  <c r="G363" i="1"/>
  <c r="H363" i="1" s="1"/>
  <c r="F364" i="1"/>
  <c r="K362" i="1"/>
  <c r="J362" i="1"/>
  <c r="I362" i="1"/>
  <c r="M362" i="1" l="1"/>
  <c r="L362" i="1"/>
  <c r="G364" i="1"/>
  <c r="H364" i="1" s="1"/>
  <c r="F365" i="1"/>
  <c r="K363" i="1"/>
  <c r="J363" i="1"/>
  <c r="I363" i="1"/>
  <c r="M363" i="1" l="1"/>
  <c r="L363" i="1"/>
  <c r="G365" i="1"/>
  <c r="H365" i="1" s="1"/>
  <c r="F366" i="1"/>
  <c r="J364" i="1"/>
  <c r="I364" i="1"/>
  <c r="K364" i="1"/>
  <c r="M364" i="1" l="1"/>
  <c r="L364" i="1"/>
  <c r="G366" i="1"/>
  <c r="H366" i="1" s="1"/>
  <c r="F367" i="1"/>
  <c r="K365" i="1"/>
  <c r="J365" i="1"/>
  <c r="I365" i="1"/>
  <c r="L365" i="1" l="1"/>
  <c r="M365" i="1"/>
  <c r="F368" i="1"/>
  <c r="G367" i="1"/>
  <c r="H367" i="1" s="1"/>
  <c r="K366" i="1"/>
  <c r="J366" i="1"/>
  <c r="I366" i="1"/>
  <c r="M366" i="1" l="1"/>
  <c r="L366" i="1"/>
  <c r="K367" i="1"/>
  <c r="J367" i="1"/>
  <c r="I367" i="1"/>
  <c r="G368" i="1"/>
  <c r="H368" i="1" s="1"/>
  <c r="F369" i="1"/>
  <c r="G369" i="1" l="1"/>
  <c r="H369" i="1" s="1"/>
  <c r="F370" i="1"/>
  <c r="K368" i="1"/>
  <c r="J368" i="1"/>
  <c r="I368" i="1"/>
  <c r="M367" i="1"/>
  <c r="L367" i="1"/>
  <c r="M368" i="1" l="1"/>
  <c r="L368" i="1"/>
  <c r="G370" i="1"/>
  <c r="H370" i="1" s="1"/>
  <c r="F371" i="1"/>
  <c r="K369" i="1"/>
  <c r="J369" i="1"/>
  <c r="I369" i="1"/>
  <c r="J370" i="1" l="1"/>
  <c r="I370" i="1"/>
  <c r="K370" i="1"/>
  <c r="L369" i="1"/>
  <c r="M369" i="1"/>
  <c r="G371" i="1"/>
  <c r="H371" i="1" s="1"/>
  <c r="F372" i="1"/>
  <c r="G372" i="1" l="1"/>
  <c r="H372" i="1" s="1"/>
  <c r="F373" i="1"/>
  <c r="K371" i="1"/>
  <c r="I371" i="1"/>
  <c r="J371" i="1"/>
  <c r="M370" i="1"/>
  <c r="L370" i="1"/>
  <c r="M371" i="1" l="1"/>
  <c r="L371" i="1"/>
  <c r="F374" i="1"/>
  <c r="G373" i="1"/>
  <c r="H373" i="1" s="1"/>
  <c r="K372" i="1"/>
  <c r="J372" i="1"/>
  <c r="I372" i="1"/>
  <c r="M372" i="1" l="1"/>
  <c r="L372" i="1"/>
  <c r="K373" i="1"/>
  <c r="J373" i="1"/>
  <c r="I373" i="1"/>
  <c r="G374" i="1"/>
  <c r="H374" i="1" s="1"/>
  <c r="F375" i="1"/>
  <c r="G375" i="1" l="1"/>
  <c r="H375" i="1" s="1"/>
  <c r="F376" i="1"/>
  <c r="I374" i="1"/>
  <c r="K374" i="1"/>
  <c r="J374" i="1"/>
  <c r="M373" i="1"/>
  <c r="L373" i="1"/>
  <c r="L374" i="1" l="1"/>
  <c r="M374" i="1"/>
  <c r="G376" i="1"/>
  <c r="H376" i="1" s="1"/>
  <c r="F377" i="1"/>
  <c r="I375" i="1"/>
  <c r="K375" i="1"/>
  <c r="J375" i="1"/>
  <c r="M375" i="1" l="1"/>
  <c r="L375" i="1"/>
  <c r="G377" i="1"/>
  <c r="H377" i="1" s="1"/>
  <c r="F378" i="1"/>
  <c r="K376" i="1"/>
  <c r="J376" i="1"/>
  <c r="I376" i="1"/>
  <c r="M376" i="1" l="1"/>
  <c r="L376" i="1"/>
  <c r="F379" i="1"/>
  <c r="G378" i="1"/>
  <c r="H378" i="1" s="1"/>
  <c r="K377" i="1"/>
  <c r="I377" i="1"/>
  <c r="J377" i="1"/>
  <c r="M377" i="1" l="1"/>
  <c r="L377" i="1"/>
  <c r="K378" i="1"/>
  <c r="J378" i="1"/>
  <c r="I378" i="1"/>
  <c r="F380" i="1"/>
  <c r="G379" i="1"/>
  <c r="H379" i="1" s="1"/>
  <c r="I379" i="1" l="1"/>
  <c r="K379" i="1"/>
  <c r="J379" i="1"/>
  <c r="G380" i="1"/>
  <c r="H380" i="1" s="1"/>
  <c r="F381" i="1"/>
  <c r="M378" i="1"/>
  <c r="L378" i="1"/>
  <c r="G381" i="1" l="1"/>
  <c r="H381" i="1" s="1"/>
  <c r="F382" i="1"/>
  <c r="K380" i="1"/>
  <c r="J380" i="1"/>
  <c r="I380" i="1"/>
  <c r="M379" i="1"/>
  <c r="L379" i="1"/>
  <c r="M380" i="1" l="1"/>
  <c r="L380" i="1"/>
  <c r="G382" i="1"/>
  <c r="H382" i="1" s="1"/>
  <c r="F383" i="1"/>
  <c r="I381" i="1"/>
  <c r="K381" i="1"/>
  <c r="J381" i="1"/>
  <c r="M381" i="1" l="1"/>
  <c r="L381" i="1"/>
  <c r="G383" i="1"/>
  <c r="H383" i="1" s="1"/>
  <c r="F384" i="1"/>
  <c r="K382" i="1"/>
  <c r="J382" i="1"/>
  <c r="I382" i="1"/>
  <c r="M382" i="1" l="1"/>
  <c r="L382" i="1"/>
  <c r="G384" i="1"/>
  <c r="H384" i="1" s="1"/>
  <c r="F385" i="1"/>
  <c r="K383" i="1"/>
  <c r="J383" i="1"/>
  <c r="I383" i="1"/>
  <c r="M383" i="1" l="1"/>
  <c r="L383" i="1"/>
  <c r="F386" i="1"/>
  <c r="G385" i="1"/>
  <c r="H385" i="1" s="1"/>
  <c r="K384" i="1"/>
  <c r="J384" i="1"/>
  <c r="I384" i="1"/>
  <c r="M384" i="1" l="1"/>
  <c r="L384" i="1"/>
  <c r="G386" i="1"/>
  <c r="H386" i="1" s="1"/>
  <c r="F387" i="1"/>
  <c r="K385" i="1"/>
  <c r="J385" i="1"/>
  <c r="I385" i="1"/>
  <c r="M385" i="1" l="1"/>
  <c r="L385" i="1"/>
  <c r="J386" i="1"/>
  <c r="I386" i="1"/>
  <c r="K386" i="1"/>
  <c r="G387" i="1"/>
  <c r="H387" i="1" s="1"/>
  <c r="F388" i="1"/>
  <c r="G388" i="1" l="1"/>
  <c r="H388" i="1" s="1"/>
  <c r="F389" i="1"/>
  <c r="I387" i="1"/>
  <c r="K387" i="1"/>
  <c r="J387" i="1"/>
  <c r="M386" i="1"/>
  <c r="L386" i="1"/>
  <c r="M387" i="1" l="1"/>
  <c r="L387" i="1"/>
  <c r="G389" i="1"/>
  <c r="H389" i="1" s="1"/>
  <c r="F390" i="1"/>
  <c r="K388" i="1"/>
  <c r="J388" i="1"/>
  <c r="I388" i="1"/>
  <c r="M388" i="1" l="1"/>
  <c r="L388" i="1"/>
  <c r="G390" i="1"/>
  <c r="H390" i="1" s="1"/>
  <c r="F391" i="1"/>
  <c r="K389" i="1"/>
  <c r="J389" i="1"/>
  <c r="I389" i="1"/>
  <c r="M389" i="1" l="1"/>
  <c r="L389" i="1"/>
  <c r="F392" i="1"/>
  <c r="G391" i="1"/>
  <c r="H391" i="1" s="1"/>
  <c r="K390" i="1"/>
  <c r="J390" i="1"/>
  <c r="I390" i="1"/>
  <c r="M390" i="1" l="1"/>
  <c r="L390" i="1"/>
  <c r="K391" i="1"/>
  <c r="J391" i="1"/>
  <c r="I391" i="1"/>
  <c r="G392" i="1"/>
  <c r="H392" i="1" s="1"/>
  <c r="F393" i="1"/>
  <c r="G393" i="1" l="1"/>
  <c r="H393" i="1" s="1"/>
  <c r="F394" i="1"/>
  <c r="M391" i="1"/>
  <c r="L391" i="1"/>
  <c r="K392" i="1"/>
  <c r="J392" i="1"/>
  <c r="I392" i="1"/>
  <c r="M392" i="1" l="1"/>
  <c r="L392" i="1"/>
  <c r="G394" i="1"/>
  <c r="H394" i="1" s="1"/>
  <c r="F395" i="1"/>
  <c r="I393" i="1"/>
  <c r="K393" i="1"/>
  <c r="J393" i="1"/>
  <c r="L393" i="1" l="1"/>
  <c r="M393" i="1"/>
  <c r="G395" i="1"/>
  <c r="H395" i="1" s="1"/>
  <c r="F396" i="1"/>
  <c r="K394" i="1"/>
  <c r="J394" i="1"/>
  <c r="I394" i="1"/>
  <c r="M394" i="1" l="1"/>
  <c r="L394" i="1"/>
  <c r="F397" i="1"/>
  <c r="G396" i="1"/>
  <c r="H396" i="1" s="1"/>
  <c r="K395" i="1"/>
  <c r="J395" i="1"/>
  <c r="I395" i="1"/>
  <c r="M395" i="1" l="1"/>
  <c r="L395" i="1"/>
  <c r="K396" i="1"/>
  <c r="J396" i="1"/>
  <c r="I396" i="1"/>
  <c r="F398" i="1"/>
  <c r="G397" i="1"/>
  <c r="H397" i="1" s="1"/>
  <c r="K397" i="1" l="1"/>
  <c r="J397" i="1"/>
  <c r="I397" i="1"/>
  <c r="G398" i="1"/>
  <c r="H398" i="1" s="1"/>
  <c r="F399" i="1"/>
  <c r="M396" i="1"/>
  <c r="L396" i="1"/>
  <c r="G399" i="1" l="1"/>
  <c r="H399" i="1" s="1"/>
  <c r="F400" i="1"/>
  <c r="K398" i="1"/>
  <c r="J398" i="1"/>
  <c r="I398" i="1"/>
  <c r="M397" i="1"/>
  <c r="L397" i="1"/>
  <c r="M398" i="1" l="1"/>
  <c r="L398" i="1"/>
  <c r="G400" i="1"/>
  <c r="H400" i="1" s="1"/>
  <c r="F401" i="1"/>
  <c r="I399" i="1"/>
  <c r="K399" i="1"/>
  <c r="J399" i="1"/>
  <c r="L399" i="1" l="1"/>
  <c r="M399" i="1"/>
  <c r="G401" i="1"/>
  <c r="H401" i="1" s="1"/>
  <c r="F402" i="1"/>
  <c r="K400" i="1"/>
  <c r="J400" i="1"/>
  <c r="I400" i="1"/>
  <c r="M400" i="1" l="1"/>
  <c r="L400" i="1"/>
  <c r="F403" i="1"/>
  <c r="G402" i="1"/>
  <c r="H402" i="1" s="1"/>
  <c r="K401" i="1"/>
  <c r="J401" i="1"/>
  <c r="I401" i="1"/>
  <c r="M401" i="1" l="1"/>
  <c r="L401" i="1"/>
  <c r="K402" i="1"/>
  <c r="J402" i="1"/>
  <c r="I402" i="1"/>
  <c r="F404" i="1"/>
  <c r="G403" i="1"/>
  <c r="H403" i="1" s="1"/>
  <c r="K403" i="1" l="1"/>
  <c r="J403" i="1"/>
  <c r="I403" i="1"/>
  <c r="G404" i="1"/>
  <c r="H404" i="1" s="1"/>
  <c r="F405" i="1"/>
  <c r="M402" i="1"/>
  <c r="L402" i="1"/>
  <c r="G405" i="1" l="1"/>
  <c r="H405" i="1" s="1"/>
  <c r="F406" i="1"/>
  <c r="K404" i="1"/>
  <c r="J404" i="1"/>
  <c r="I404" i="1"/>
  <c r="M403" i="1"/>
  <c r="L403" i="1"/>
  <c r="M404" i="1" l="1"/>
  <c r="L404" i="1"/>
  <c r="G406" i="1"/>
  <c r="H406" i="1" s="1"/>
  <c r="F407" i="1"/>
  <c r="I405" i="1"/>
  <c r="K405" i="1"/>
  <c r="J405" i="1"/>
  <c r="M405" i="1" l="1"/>
  <c r="L405" i="1"/>
  <c r="G407" i="1"/>
  <c r="H407" i="1" s="1"/>
  <c r="F408" i="1"/>
  <c r="K406" i="1"/>
  <c r="J406" i="1"/>
  <c r="I406" i="1"/>
  <c r="L406" i="1" l="1"/>
  <c r="M406" i="1"/>
  <c r="F409" i="1"/>
  <c r="G408" i="1"/>
  <c r="H408" i="1" s="1"/>
  <c r="K407" i="1"/>
  <c r="J407" i="1"/>
  <c r="I407" i="1"/>
  <c r="M407" i="1" l="1"/>
  <c r="L407" i="1"/>
  <c r="K408" i="1"/>
  <c r="J408" i="1"/>
  <c r="I408" i="1"/>
  <c r="F410" i="1"/>
  <c r="G409" i="1"/>
  <c r="H409" i="1" s="1"/>
  <c r="K409" i="1" l="1"/>
  <c r="J409" i="1"/>
  <c r="I409" i="1"/>
  <c r="G410" i="1"/>
  <c r="H410" i="1" s="1"/>
  <c r="F411" i="1"/>
  <c r="M408" i="1"/>
  <c r="L408" i="1"/>
  <c r="G411" i="1" l="1"/>
  <c r="H411" i="1" s="1"/>
  <c r="F412" i="1"/>
  <c r="K410" i="1"/>
  <c r="J410" i="1"/>
  <c r="I410" i="1"/>
  <c r="M409" i="1"/>
  <c r="L409" i="1"/>
  <c r="M410" i="1" l="1"/>
  <c r="L410" i="1"/>
  <c r="G412" i="1"/>
  <c r="H412" i="1" s="1"/>
  <c r="F413" i="1"/>
  <c r="I411" i="1"/>
  <c r="K411" i="1"/>
  <c r="J411" i="1"/>
  <c r="L411" i="1" l="1"/>
  <c r="M411" i="1"/>
  <c r="G413" i="1"/>
  <c r="H413" i="1" s="1"/>
  <c r="F414" i="1"/>
  <c r="K412" i="1"/>
  <c r="J412" i="1"/>
  <c r="I412" i="1"/>
  <c r="M412" i="1" l="1"/>
  <c r="L412" i="1"/>
  <c r="G414" i="1"/>
  <c r="H414" i="1" s="1"/>
  <c r="F415" i="1"/>
  <c r="K413" i="1"/>
  <c r="J413" i="1"/>
  <c r="I413" i="1"/>
  <c r="M413" i="1" l="1"/>
  <c r="L413" i="1"/>
  <c r="F416" i="1"/>
  <c r="G415" i="1"/>
  <c r="H415" i="1" s="1"/>
  <c r="K414" i="1"/>
  <c r="J414" i="1"/>
  <c r="I414" i="1"/>
  <c r="M414" i="1" l="1"/>
  <c r="L414" i="1"/>
  <c r="K415" i="1"/>
  <c r="J415" i="1"/>
  <c r="I415" i="1"/>
  <c r="G416" i="1"/>
  <c r="H416" i="1" s="1"/>
  <c r="F417" i="1"/>
  <c r="K416" i="1" l="1"/>
  <c r="J416" i="1"/>
  <c r="I416" i="1"/>
  <c r="M415" i="1"/>
  <c r="L415" i="1"/>
  <c r="G417" i="1"/>
  <c r="H417" i="1" s="1"/>
  <c r="F418" i="1"/>
  <c r="M416" i="1" l="1"/>
  <c r="L416" i="1"/>
  <c r="G418" i="1"/>
  <c r="H418" i="1" s="1"/>
  <c r="F419" i="1"/>
  <c r="I417" i="1"/>
  <c r="K417" i="1"/>
  <c r="J417" i="1"/>
  <c r="K418" i="1" l="1"/>
  <c r="J418" i="1"/>
  <c r="I418" i="1"/>
  <c r="M417" i="1"/>
  <c r="L417" i="1"/>
  <c r="G419" i="1"/>
  <c r="H419" i="1" s="1"/>
  <c r="F420" i="1"/>
  <c r="F421" i="1" l="1"/>
  <c r="G420" i="1"/>
  <c r="H420" i="1" s="1"/>
  <c r="K419" i="1"/>
  <c r="J419" i="1"/>
  <c r="I419" i="1"/>
  <c r="M418" i="1"/>
  <c r="L418" i="1"/>
  <c r="M419" i="1" l="1"/>
  <c r="L419" i="1"/>
  <c r="K420" i="1"/>
  <c r="J420" i="1"/>
  <c r="I420" i="1"/>
  <c r="F422" i="1"/>
  <c r="G421" i="1"/>
  <c r="H421" i="1" s="1"/>
  <c r="K421" i="1" l="1"/>
  <c r="J421" i="1"/>
  <c r="I421" i="1"/>
  <c r="G422" i="1"/>
  <c r="H422" i="1" s="1"/>
  <c r="F423" i="1"/>
  <c r="M420" i="1"/>
  <c r="L420" i="1"/>
  <c r="G423" i="1" l="1"/>
  <c r="H423" i="1" s="1"/>
  <c r="F424" i="1"/>
  <c r="I422" i="1"/>
  <c r="K422" i="1"/>
  <c r="J422" i="1"/>
  <c r="M421" i="1"/>
  <c r="L421" i="1"/>
  <c r="M422" i="1" l="1"/>
  <c r="L422" i="1"/>
  <c r="G424" i="1"/>
  <c r="H424" i="1" s="1"/>
  <c r="F425" i="1"/>
  <c r="I423" i="1"/>
  <c r="K423" i="1"/>
  <c r="J423" i="1"/>
  <c r="M423" i="1" l="1"/>
  <c r="L423" i="1"/>
  <c r="G425" i="1"/>
  <c r="H425" i="1" s="1"/>
  <c r="F426" i="1"/>
  <c r="K424" i="1"/>
  <c r="J424" i="1"/>
  <c r="I424" i="1"/>
  <c r="L424" i="1" l="1"/>
  <c r="M424" i="1"/>
  <c r="F427" i="1"/>
  <c r="G426" i="1"/>
  <c r="H426" i="1" s="1"/>
  <c r="K425" i="1"/>
  <c r="J425" i="1"/>
  <c r="I425" i="1"/>
  <c r="M425" i="1" l="1"/>
  <c r="L425" i="1"/>
  <c r="K426" i="1"/>
  <c r="J426" i="1"/>
  <c r="I426" i="1"/>
  <c r="F428" i="1"/>
  <c r="G427" i="1"/>
  <c r="H427" i="1" s="1"/>
  <c r="K427" i="1" l="1"/>
  <c r="J427" i="1"/>
  <c r="I427" i="1"/>
  <c r="G428" i="1"/>
  <c r="H428" i="1" s="1"/>
  <c r="F429" i="1"/>
  <c r="M426" i="1"/>
  <c r="L426" i="1"/>
  <c r="G429" i="1" l="1"/>
  <c r="H429" i="1" s="1"/>
  <c r="F430" i="1"/>
  <c r="K428" i="1"/>
  <c r="J428" i="1"/>
  <c r="I428" i="1"/>
  <c r="M427" i="1"/>
  <c r="L427" i="1"/>
  <c r="M428" i="1" l="1"/>
  <c r="L428" i="1"/>
  <c r="G430" i="1"/>
  <c r="H430" i="1" s="1"/>
  <c r="F431" i="1"/>
  <c r="I429" i="1"/>
  <c r="K429" i="1"/>
  <c r="J429" i="1"/>
  <c r="L429" i="1" l="1"/>
  <c r="M429" i="1"/>
  <c r="G431" i="1"/>
  <c r="H431" i="1" s="1"/>
  <c r="F432" i="1"/>
  <c r="K430" i="1"/>
  <c r="J430" i="1"/>
  <c r="I430" i="1"/>
  <c r="M430" i="1" l="1"/>
  <c r="L430" i="1"/>
  <c r="G432" i="1"/>
  <c r="H432" i="1" s="1"/>
  <c r="F433" i="1"/>
  <c r="K431" i="1"/>
  <c r="J431" i="1"/>
  <c r="I431" i="1"/>
  <c r="M431" i="1" l="1"/>
  <c r="L431" i="1"/>
  <c r="F434" i="1"/>
  <c r="G433" i="1"/>
  <c r="H433" i="1" s="1"/>
  <c r="K432" i="1"/>
  <c r="J432" i="1"/>
  <c r="I432" i="1"/>
  <c r="M432" i="1" l="1"/>
  <c r="L432" i="1"/>
  <c r="K433" i="1"/>
  <c r="J433" i="1"/>
  <c r="I433" i="1"/>
  <c r="G434" i="1"/>
  <c r="H434" i="1" s="1"/>
  <c r="F435" i="1"/>
  <c r="G435" i="1" l="1"/>
  <c r="H435" i="1" s="1"/>
  <c r="F436" i="1"/>
  <c r="K434" i="1"/>
  <c r="J434" i="1"/>
  <c r="I434" i="1"/>
  <c r="M433" i="1"/>
  <c r="L433" i="1"/>
  <c r="M434" i="1" l="1"/>
  <c r="L434" i="1"/>
  <c r="G436" i="1"/>
  <c r="H436" i="1" s="1"/>
  <c r="F437" i="1"/>
  <c r="I435" i="1"/>
  <c r="K435" i="1"/>
  <c r="J435" i="1"/>
  <c r="M435" i="1" l="1"/>
  <c r="L435" i="1"/>
  <c r="G437" i="1"/>
  <c r="H437" i="1" s="1"/>
  <c r="F438" i="1"/>
  <c r="K436" i="1"/>
  <c r="J436" i="1"/>
  <c r="I436" i="1"/>
  <c r="M436" i="1" l="1"/>
  <c r="L436" i="1"/>
  <c r="F439" i="1"/>
  <c r="G438" i="1"/>
  <c r="H438" i="1" s="1"/>
  <c r="K437" i="1"/>
  <c r="J437" i="1"/>
  <c r="I437" i="1"/>
  <c r="M437" i="1" l="1"/>
  <c r="L437" i="1"/>
  <c r="K438" i="1"/>
  <c r="J438" i="1"/>
  <c r="I438" i="1"/>
  <c r="F440" i="1"/>
  <c r="G439" i="1"/>
  <c r="H439" i="1" s="1"/>
  <c r="K439" i="1" l="1"/>
  <c r="J439" i="1"/>
  <c r="I439" i="1"/>
  <c r="G440" i="1"/>
  <c r="H440" i="1" s="1"/>
  <c r="F441" i="1"/>
  <c r="M438" i="1"/>
  <c r="L438" i="1"/>
  <c r="G441" i="1" l="1"/>
  <c r="H441" i="1" s="1"/>
  <c r="F442" i="1"/>
  <c r="J440" i="1"/>
  <c r="K440" i="1"/>
  <c r="I440" i="1"/>
  <c r="M439" i="1"/>
  <c r="L439" i="1"/>
  <c r="M440" i="1" l="1"/>
  <c r="L440" i="1"/>
  <c r="G442" i="1"/>
  <c r="H442" i="1" s="1"/>
  <c r="F443" i="1"/>
  <c r="J441" i="1"/>
  <c r="I441" i="1"/>
  <c r="K441" i="1"/>
  <c r="L441" i="1" l="1"/>
  <c r="M441" i="1"/>
  <c r="G443" i="1"/>
  <c r="H443" i="1" s="1"/>
  <c r="F444" i="1"/>
  <c r="K442" i="1"/>
  <c r="J442" i="1"/>
  <c r="I442" i="1"/>
  <c r="M442" i="1" l="1"/>
  <c r="L442" i="1"/>
  <c r="G444" i="1"/>
  <c r="H444" i="1" s="1"/>
  <c r="F445" i="1"/>
  <c r="K443" i="1"/>
  <c r="J443" i="1"/>
  <c r="I443" i="1"/>
  <c r="G445" i="1" l="1"/>
  <c r="H445" i="1" s="1"/>
  <c r="F446" i="1"/>
  <c r="K444" i="1"/>
  <c r="J444" i="1"/>
  <c r="I444" i="1"/>
  <c r="M443" i="1"/>
  <c r="L443" i="1"/>
  <c r="M444" i="1" l="1"/>
  <c r="L444" i="1"/>
  <c r="G446" i="1"/>
  <c r="H446" i="1" s="1"/>
  <c r="F447" i="1"/>
  <c r="J445" i="1"/>
  <c r="I445" i="1"/>
  <c r="K445" i="1"/>
  <c r="G447" i="1" l="1"/>
  <c r="H447" i="1" s="1"/>
  <c r="F448" i="1"/>
  <c r="M445" i="1"/>
  <c r="L445" i="1"/>
  <c r="J446" i="1"/>
  <c r="K446" i="1"/>
  <c r="I446" i="1"/>
  <c r="M446" i="1" l="1"/>
  <c r="L446" i="1"/>
  <c r="G448" i="1"/>
  <c r="H448" i="1" s="1"/>
  <c r="F449" i="1"/>
  <c r="J447" i="1"/>
  <c r="K447" i="1"/>
  <c r="I447" i="1"/>
  <c r="L447" i="1" l="1"/>
  <c r="M447" i="1"/>
  <c r="G449" i="1"/>
  <c r="H449" i="1" s="1"/>
  <c r="F450" i="1"/>
  <c r="K448" i="1"/>
  <c r="J448" i="1"/>
  <c r="I448" i="1"/>
  <c r="L448" i="1" l="1"/>
  <c r="M448" i="1"/>
  <c r="G450" i="1"/>
  <c r="H450" i="1" s="1"/>
  <c r="F451" i="1"/>
  <c r="K449" i="1"/>
  <c r="J449" i="1"/>
  <c r="I449" i="1"/>
  <c r="M449" i="1" l="1"/>
  <c r="L449" i="1"/>
  <c r="G451" i="1"/>
  <c r="H451" i="1" s="1"/>
  <c r="F452" i="1"/>
  <c r="K450" i="1"/>
  <c r="J450" i="1"/>
  <c r="I450" i="1"/>
  <c r="M450" i="1" l="1"/>
  <c r="L450" i="1"/>
  <c r="G452" i="1"/>
  <c r="H452" i="1" s="1"/>
  <c r="F453" i="1"/>
  <c r="J451" i="1"/>
  <c r="I451" i="1"/>
  <c r="K451" i="1"/>
  <c r="F454" i="1" l="1"/>
  <c r="G453" i="1"/>
  <c r="H453" i="1" s="1"/>
  <c r="J452" i="1"/>
  <c r="K452" i="1"/>
  <c r="I452" i="1"/>
  <c r="M451" i="1"/>
  <c r="L451" i="1"/>
  <c r="M452" i="1" l="1"/>
  <c r="L452" i="1"/>
  <c r="J453" i="1"/>
  <c r="I453" i="1"/>
  <c r="K453" i="1"/>
  <c r="G454" i="1"/>
  <c r="H454" i="1" s="1"/>
  <c r="F455" i="1"/>
  <c r="G455" i="1" l="1"/>
  <c r="H455" i="1" s="1"/>
  <c r="F456" i="1"/>
  <c r="K454" i="1"/>
  <c r="J454" i="1"/>
  <c r="I454" i="1"/>
  <c r="L453" i="1"/>
  <c r="M453" i="1"/>
  <c r="L454" i="1" l="1"/>
  <c r="M454" i="1"/>
  <c r="G456" i="1"/>
  <c r="H456" i="1" s="1"/>
  <c r="F457" i="1"/>
  <c r="K455" i="1"/>
  <c r="J455" i="1"/>
  <c r="I455" i="1"/>
  <c r="M455" i="1" l="1"/>
  <c r="L455" i="1"/>
  <c r="K456" i="1"/>
  <c r="J456" i="1"/>
  <c r="I456" i="1"/>
  <c r="G457" i="1"/>
  <c r="H457" i="1" s="1"/>
  <c r="F458" i="1"/>
  <c r="M456" i="1" l="1"/>
  <c r="L456" i="1"/>
  <c r="G458" i="1"/>
  <c r="H458" i="1" s="1"/>
  <c r="F459" i="1"/>
  <c r="I457" i="1"/>
  <c r="K457" i="1"/>
  <c r="J457" i="1"/>
  <c r="M457" i="1" l="1"/>
  <c r="L457" i="1"/>
  <c r="G459" i="1"/>
  <c r="H459" i="1" s="1"/>
  <c r="F460" i="1"/>
  <c r="K458" i="1"/>
  <c r="J458" i="1"/>
  <c r="I458" i="1"/>
  <c r="M458" i="1" l="1"/>
  <c r="L458" i="1"/>
  <c r="F461" i="1"/>
  <c r="G460" i="1"/>
  <c r="H460" i="1" s="1"/>
  <c r="J459" i="1"/>
  <c r="I459" i="1"/>
  <c r="K459" i="1"/>
  <c r="M459" i="1" l="1"/>
  <c r="L459" i="1"/>
  <c r="K460" i="1"/>
  <c r="J460" i="1"/>
  <c r="I460" i="1"/>
  <c r="G461" i="1"/>
  <c r="H461" i="1" s="1"/>
  <c r="F462" i="1"/>
  <c r="G462" i="1" l="1"/>
  <c r="H462" i="1" s="1"/>
  <c r="F463" i="1"/>
  <c r="J461" i="1"/>
  <c r="I461" i="1"/>
  <c r="K461" i="1"/>
  <c r="L460" i="1"/>
  <c r="M460" i="1"/>
  <c r="M461" i="1" l="1"/>
  <c r="L461" i="1"/>
  <c r="G463" i="1"/>
  <c r="H463" i="1" s="1"/>
  <c r="F464" i="1"/>
  <c r="K462" i="1"/>
  <c r="J462" i="1"/>
  <c r="I462" i="1"/>
  <c r="M462" i="1" l="1"/>
  <c r="L462" i="1"/>
  <c r="G464" i="1"/>
  <c r="H464" i="1" s="1"/>
  <c r="F465" i="1"/>
  <c r="I463" i="1"/>
  <c r="K463" i="1"/>
  <c r="J463" i="1"/>
  <c r="M463" i="1" l="1"/>
  <c r="L463" i="1"/>
  <c r="G465" i="1"/>
  <c r="H465" i="1" s="1"/>
  <c r="F466" i="1"/>
  <c r="K464" i="1"/>
  <c r="J464" i="1"/>
  <c r="I464" i="1"/>
  <c r="M464" i="1" l="1"/>
  <c r="L464" i="1"/>
  <c r="F467" i="1"/>
  <c r="G466" i="1"/>
  <c r="H466" i="1" s="1"/>
  <c r="J465" i="1"/>
  <c r="I465" i="1"/>
  <c r="K465" i="1"/>
  <c r="K466" i="1" l="1"/>
  <c r="J466" i="1"/>
  <c r="I466" i="1"/>
  <c r="G467" i="1"/>
  <c r="H467" i="1" s="1"/>
  <c r="F468" i="1"/>
  <c r="M465" i="1"/>
  <c r="L465" i="1"/>
  <c r="G468" i="1" l="1"/>
  <c r="H468" i="1" s="1"/>
  <c r="F469" i="1"/>
  <c r="K467" i="1"/>
  <c r="J467" i="1"/>
  <c r="I467" i="1"/>
  <c r="L466" i="1"/>
  <c r="M466" i="1"/>
  <c r="M467" i="1" l="1"/>
  <c r="L467" i="1"/>
  <c r="G469" i="1"/>
  <c r="H469" i="1" s="1"/>
  <c r="F470" i="1"/>
  <c r="K468" i="1"/>
  <c r="J468" i="1"/>
  <c r="I468" i="1"/>
  <c r="L468" i="1" l="1"/>
  <c r="M468" i="1"/>
  <c r="G470" i="1"/>
  <c r="H470" i="1" s="1"/>
  <c r="F471" i="1"/>
  <c r="I469" i="1"/>
  <c r="K469" i="1"/>
  <c r="J469" i="1"/>
  <c r="M469" i="1" l="1"/>
  <c r="L469" i="1"/>
  <c r="G471" i="1"/>
  <c r="H471" i="1" s="1"/>
  <c r="F472" i="1"/>
  <c r="K470" i="1"/>
  <c r="J470" i="1"/>
  <c r="I470" i="1"/>
  <c r="L470" i="1" l="1"/>
  <c r="M470" i="1"/>
  <c r="F473" i="1"/>
  <c r="G472" i="1"/>
  <c r="H472" i="1" s="1"/>
  <c r="J471" i="1"/>
  <c r="I471" i="1"/>
  <c r="K471" i="1"/>
  <c r="M471" i="1" l="1"/>
  <c r="L471" i="1"/>
  <c r="K472" i="1"/>
  <c r="J472" i="1"/>
  <c r="I472" i="1"/>
  <c r="G473" i="1"/>
  <c r="H473" i="1" s="1"/>
  <c r="F474" i="1"/>
  <c r="G474" i="1" l="1"/>
  <c r="H474" i="1" s="1"/>
  <c r="F475" i="1"/>
  <c r="K473" i="1"/>
  <c r="J473" i="1"/>
  <c r="I473" i="1"/>
  <c r="L472" i="1"/>
  <c r="M472" i="1"/>
  <c r="M473" i="1" l="1"/>
  <c r="L473" i="1"/>
  <c r="G475" i="1"/>
  <c r="H475" i="1" s="1"/>
  <c r="F476" i="1"/>
  <c r="K474" i="1"/>
  <c r="J474" i="1"/>
  <c r="I474" i="1"/>
  <c r="M474" i="1" l="1"/>
  <c r="L474" i="1"/>
  <c r="G476" i="1"/>
  <c r="H476" i="1" s="1"/>
  <c r="F477" i="1"/>
  <c r="I475" i="1"/>
  <c r="K475" i="1"/>
  <c r="J475" i="1"/>
  <c r="M475" i="1" l="1"/>
  <c r="L475" i="1"/>
  <c r="G477" i="1"/>
  <c r="H477" i="1" s="1"/>
  <c r="F478" i="1"/>
  <c r="K476" i="1"/>
  <c r="J476" i="1"/>
  <c r="I476" i="1"/>
  <c r="M476" i="1" l="1"/>
  <c r="L476" i="1"/>
  <c r="G478" i="1"/>
  <c r="H478" i="1" s="1"/>
  <c r="F479" i="1"/>
  <c r="J477" i="1"/>
  <c r="I477" i="1"/>
  <c r="K477" i="1"/>
  <c r="M477" i="1" l="1"/>
  <c r="L477" i="1"/>
  <c r="G479" i="1"/>
  <c r="H479" i="1" s="1"/>
  <c r="F480" i="1"/>
  <c r="K478" i="1"/>
  <c r="J478" i="1"/>
  <c r="I478" i="1"/>
  <c r="L478" i="1" l="1"/>
  <c r="M478" i="1"/>
  <c r="G480" i="1"/>
  <c r="H480" i="1" s="1"/>
  <c r="F481" i="1"/>
  <c r="K479" i="1"/>
  <c r="J479" i="1"/>
  <c r="I479" i="1"/>
  <c r="M479" i="1" l="1"/>
  <c r="L479" i="1"/>
  <c r="G481" i="1"/>
  <c r="H481" i="1" s="1"/>
  <c r="F482" i="1"/>
  <c r="K480" i="1"/>
  <c r="J480" i="1"/>
  <c r="I480" i="1"/>
  <c r="M480" i="1" l="1"/>
  <c r="L480" i="1"/>
  <c r="G482" i="1"/>
  <c r="H482" i="1" s="1"/>
  <c r="F483" i="1"/>
  <c r="I481" i="1"/>
  <c r="K481" i="1"/>
  <c r="J481" i="1"/>
  <c r="M481" i="1" l="1"/>
  <c r="L481" i="1"/>
  <c r="G483" i="1"/>
  <c r="H483" i="1" s="1"/>
  <c r="F484" i="1"/>
  <c r="K482" i="1"/>
  <c r="J482" i="1"/>
  <c r="I482" i="1"/>
  <c r="G484" i="1" l="1"/>
  <c r="H484" i="1" s="1"/>
  <c r="F485" i="1"/>
  <c r="J483" i="1"/>
  <c r="I483" i="1"/>
  <c r="K483" i="1"/>
  <c r="L482" i="1"/>
  <c r="M482" i="1"/>
  <c r="M483" i="1" l="1"/>
  <c r="L483" i="1"/>
  <c r="G485" i="1"/>
  <c r="H485" i="1" s="1"/>
  <c r="F486" i="1"/>
  <c r="K484" i="1"/>
  <c r="J484" i="1"/>
  <c r="I484" i="1"/>
  <c r="K485" i="1" l="1"/>
  <c r="J485" i="1"/>
  <c r="I485" i="1"/>
  <c r="L484" i="1"/>
  <c r="M484" i="1"/>
  <c r="G486" i="1"/>
  <c r="H486" i="1" s="1"/>
  <c r="F487" i="1"/>
  <c r="M485" i="1" l="1"/>
  <c r="L485" i="1"/>
  <c r="G487" i="1"/>
  <c r="H487" i="1" s="1"/>
  <c r="F488" i="1"/>
  <c r="K486" i="1"/>
  <c r="J486" i="1"/>
  <c r="I486" i="1"/>
  <c r="M486" i="1" l="1"/>
  <c r="L486" i="1"/>
  <c r="G488" i="1"/>
  <c r="H488" i="1" s="1"/>
  <c r="F489" i="1"/>
  <c r="I487" i="1"/>
  <c r="K487" i="1"/>
  <c r="J487" i="1"/>
  <c r="M487" i="1" l="1"/>
  <c r="L487" i="1"/>
  <c r="G489" i="1"/>
  <c r="H489" i="1" s="1"/>
  <c r="F490" i="1"/>
  <c r="K488" i="1"/>
  <c r="J488" i="1"/>
  <c r="I488" i="1"/>
  <c r="M488" i="1" l="1"/>
  <c r="L488" i="1"/>
  <c r="G490" i="1"/>
  <c r="H490" i="1" s="1"/>
  <c r="F491" i="1"/>
  <c r="J489" i="1"/>
  <c r="I489" i="1"/>
  <c r="K489" i="1"/>
  <c r="M489" i="1" l="1"/>
  <c r="L489" i="1"/>
  <c r="G491" i="1"/>
  <c r="H491" i="1" s="1"/>
  <c r="F492" i="1"/>
  <c r="K490" i="1"/>
  <c r="J490" i="1"/>
  <c r="I490" i="1"/>
  <c r="L490" i="1" l="1"/>
  <c r="M490" i="1"/>
  <c r="G492" i="1"/>
  <c r="H492" i="1" s="1"/>
  <c r="F493" i="1"/>
  <c r="K491" i="1"/>
  <c r="J491" i="1"/>
  <c r="I491" i="1"/>
  <c r="G493" i="1" l="1"/>
  <c r="H493" i="1" s="1"/>
  <c r="F494" i="1"/>
  <c r="M491" i="1"/>
  <c r="L491" i="1"/>
  <c r="K492" i="1"/>
  <c r="J492" i="1"/>
  <c r="I492" i="1"/>
  <c r="G494" i="1" l="1"/>
  <c r="H494" i="1" s="1"/>
  <c r="F495" i="1"/>
  <c r="M492" i="1"/>
  <c r="L492" i="1"/>
  <c r="I493" i="1"/>
  <c r="K493" i="1"/>
  <c r="J493" i="1"/>
  <c r="M493" i="1" l="1"/>
  <c r="L493" i="1"/>
  <c r="G495" i="1"/>
  <c r="H495" i="1" s="1"/>
  <c r="F496" i="1"/>
  <c r="K494" i="1"/>
  <c r="J494" i="1"/>
  <c r="I494" i="1"/>
  <c r="M494" i="1" l="1"/>
  <c r="L494" i="1"/>
  <c r="G496" i="1"/>
  <c r="H496" i="1" s="1"/>
  <c r="F497" i="1"/>
  <c r="J495" i="1"/>
  <c r="I495" i="1"/>
  <c r="K495" i="1"/>
  <c r="M495" i="1" l="1"/>
  <c r="L495" i="1"/>
  <c r="G497" i="1"/>
  <c r="H497" i="1" s="1"/>
  <c r="F498" i="1"/>
  <c r="K496" i="1"/>
  <c r="J496" i="1"/>
  <c r="I496" i="1"/>
  <c r="L496" i="1" l="1"/>
  <c r="M496" i="1"/>
  <c r="G498" i="1"/>
  <c r="H498" i="1" s="1"/>
  <c r="F499" i="1"/>
  <c r="K497" i="1"/>
  <c r="J497" i="1"/>
  <c r="I497" i="1"/>
  <c r="M497" i="1" l="1"/>
  <c r="L497" i="1"/>
  <c r="G499" i="1"/>
  <c r="H499" i="1" s="1"/>
  <c r="F500" i="1"/>
  <c r="K498" i="1"/>
  <c r="J498" i="1"/>
  <c r="I498" i="1"/>
  <c r="M498" i="1" l="1"/>
  <c r="L498" i="1"/>
  <c r="G500" i="1"/>
  <c r="H500" i="1" s="1"/>
  <c r="F501" i="1"/>
  <c r="I499" i="1"/>
  <c r="K499" i="1"/>
  <c r="J499" i="1"/>
  <c r="M499" i="1" l="1"/>
  <c r="L499" i="1"/>
  <c r="G501" i="1"/>
  <c r="H501" i="1" s="1"/>
  <c r="F502" i="1"/>
  <c r="K500" i="1"/>
  <c r="J500" i="1"/>
  <c r="I500" i="1"/>
  <c r="L500" i="1" l="1"/>
  <c r="M500" i="1"/>
  <c r="G502" i="1"/>
  <c r="H502" i="1" s="1"/>
  <c r="F503" i="1"/>
  <c r="J501" i="1"/>
  <c r="K501" i="1"/>
  <c r="I501" i="1"/>
  <c r="M501" i="1" l="1"/>
  <c r="L501" i="1"/>
  <c r="G503" i="1"/>
  <c r="H503" i="1" s="1"/>
  <c r="F504" i="1"/>
  <c r="K502" i="1"/>
  <c r="J502" i="1"/>
  <c r="I502" i="1"/>
  <c r="L502" i="1" l="1"/>
  <c r="M502" i="1"/>
  <c r="G504" i="1"/>
  <c r="H504" i="1" s="1"/>
  <c r="F505" i="1"/>
  <c r="K503" i="1"/>
  <c r="I503" i="1"/>
  <c r="J503" i="1"/>
  <c r="M503" i="1" l="1"/>
  <c r="L503" i="1"/>
  <c r="G505" i="1"/>
  <c r="H505" i="1" s="1"/>
  <c r="F506" i="1"/>
  <c r="I504" i="1"/>
  <c r="K504" i="1"/>
  <c r="J504" i="1"/>
  <c r="M504" i="1" l="1"/>
  <c r="L504" i="1"/>
  <c r="G506" i="1"/>
  <c r="H506" i="1" s="1"/>
  <c r="F507" i="1"/>
  <c r="K505" i="1"/>
  <c r="I505" i="1"/>
  <c r="J505" i="1"/>
  <c r="L505" i="1" l="1"/>
  <c r="M505" i="1"/>
  <c r="G507" i="1"/>
  <c r="H507" i="1" s="1"/>
  <c r="F508" i="1"/>
  <c r="J506" i="1"/>
  <c r="K506" i="1"/>
  <c r="I506" i="1"/>
  <c r="M506" i="1" l="1"/>
  <c r="L506" i="1"/>
  <c r="G508" i="1"/>
  <c r="H508" i="1" s="1"/>
  <c r="F509" i="1"/>
  <c r="J507" i="1"/>
  <c r="K507" i="1"/>
  <c r="I507" i="1"/>
  <c r="L507" i="1" l="1"/>
  <c r="M507" i="1"/>
  <c r="J508" i="1"/>
  <c r="I508" i="1"/>
  <c r="K508" i="1"/>
  <c r="G509" i="1"/>
  <c r="H509" i="1" s="1"/>
  <c r="F510" i="1"/>
  <c r="G510" i="1" l="1"/>
  <c r="H510" i="1" s="1"/>
  <c r="F511" i="1"/>
  <c r="J509" i="1"/>
  <c r="I509" i="1"/>
  <c r="K509" i="1"/>
  <c r="L508" i="1"/>
  <c r="M508" i="1"/>
  <c r="M509" i="1" l="1"/>
  <c r="L509" i="1"/>
  <c r="G511" i="1"/>
  <c r="H511" i="1" s="1"/>
  <c r="F512" i="1"/>
  <c r="K510" i="1"/>
  <c r="J510" i="1"/>
  <c r="I510" i="1"/>
  <c r="M510" i="1" l="1"/>
  <c r="L510" i="1"/>
  <c r="G512" i="1"/>
  <c r="H512" i="1" s="1"/>
  <c r="F513" i="1"/>
  <c r="I511" i="1"/>
  <c r="K511" i="1"/>
  <c r="J511" i="1"/>
  <c r="M511" i="1" l="1"/>
  <c r="L511" i="1"/>
  <c r="G513" i="1"/>
  <c r="H513" i="1" s="1"/>
  <c r="F514" i="1"/>
  <c r="J512" i="1"/>
  <c r="I512" i="1"/>
  <c r="K512" i="1"/>
  <c r="M512" i="1" l="1"/>
  <c r="L512" i="1"/>
  <c r="G514" i="1"/>
  <c r="H514" i="1" s="1"/>
  <c r="F515" i="1"/>
  <c r="K513" i="1"/>
  <c r="J513" i="1"/>
  <c r="I513" i="1"/>
  <c r="L513" i="1" l="1"/>
  <c r="M513" i="1"/>
  <c r="G515" i="1"/>
  <c r="H515" i="1" s="1"/>
  <c r="F516" i="1"/>
  <c r="J514" i="1"/>
  <c r="K514" i="1"/>
  <c r="I514" i="1"/>
  <c r="M514" i="1" l="1"/>
  <c r="L514" i="1"/>
  <c r="G516" i="1"/>
  <c r="H516" i="1" s="1"/>
  <c r="F517" i="1"/>
  <c r="K515" i="1"/>
  <c r="J515" i="1"/>
  <c r="I515" i="1"/>
  <c r="L515" i="1" l="1"/>
  <c r="M515" i="1"/>
  <c r="G517" i="1"/>
  <c r="H517" i="1" s="1"/>
  <c r="F518" i="1"/>
  <c r="K516" i="1"/>
  <c r="J516" i="1"/>
  <c r="I516" i="1"/>
  <c r="G518" i="1" l="1"/>
  <c r="H518" i="1" s="1"/>
  <c r="F519" i="1"/>
  <c r="M516" i="1"/>
  <c r="L516" i="1"/>
  <c r="K517" i="1"/>
  <c r="J517" i="1"/>
  <c r="I517" i="1"/>
  <c r="M517" i="1" l="1"/>
  <c r="L517" i="1"/>
  <c r="G519" i="1"/>
  <c r="H519" i="1" s="1"/>
  <c r="F520" i="1"/>
  <c r="J518" i="1"/>
  <c r="I518" i="1"/>
  <c r="K518" i="1"/>
  <c r="M518" i="1" l="1"/>
  <c r="L518" i="1"/>
  <c r="G520" i="1"/>
  <c r="H520" i="1" s="1"/>
  <c r="F521" i="1"/>
  <c r="K519" i="1"/>
  <c r="J519" i="1"/>
  <c r="I519" i="1"/>
  <c r="J520" i="1" l="1"/>
  <c r="I520" i="1"/>
  <c r="K520" i="1"/>
  <c r="L519" i="1"/>
  <c r="M519" i="1"/>
  <c r="G521" i="1"/>
  <c r="H521" i="1" s="1"/>
  <c r="F522" i="1"/>
  <c r="K521" i="1" l="1"/>
  <c r="J521" i="1"/>
  <c r="I521" i="1"/>
  <c r="M520" i="1"/>
  <c r="L520" i="1"/>
  <c r="G522" i="1"/>
  <c r="H522" i="1" s="1"/>
  <c r="F523" i="1"/>
  <c r="G523" i="1" l="1"/>
  <c r="H523" i="1" s="1"/>
  <c r="F524" i="1"/>
  <c r="K522" i="1"/>
  <c r="J522" i="1"/>
  <c r="I522" i="1"/>
  <c r="L521" i="1"/>
  <c r="M521" i="1"/>
  <c r="M522" i="1" l="1"/>
  <c r="L522" i="1"/>
  <c r="G524" i="1"/>
  <c r="H524" i="1" s="1"/>
  <c r="F525" i="1"/>
  <c r="J523" i="1"/>
  <c r="I523" i="1"/>
  <c r="K523" i="1"/>
  <c r="G525" i="1" l="1"/>
  <c r="H525" i="1" s="1"/>
  <c r="F526" i="1"/>
  <c r="M523" i="1"/>
  <c r="L523" i="1"/>
  <c r="J524" i="1"/>
  <c r="I524" i="1"/>
  <c r="K524" i="1"/>
  <c r="M524" i="1" l="1"/>
  <c r="L524" i="1"/>
  <c r="G526" i="1"/>
  <c r="H526" i="1" s="1"/>
  <c r="F527" i="1"/>
  <c r="K525" i="1"/>
  <c r="J525" i="1"/>
  <c r="I525" i="1"/>
  <c r="L525" i="1" l="1"/>
  <c r="M525" i="1"/>
  <c r="G527" i="1"/>
  <c r="H527" i="1" s="1"/>
  <c r="F528" i="1"/>
  <c r="J526" i="1"/>
  <c r="I526" i="1"/>
  <c r="K526" i="1"/>
  <c r="M526" i="1" l="1"/>
  <c r="L526" i="1"/>
  <c r="G528" i="1"/>
  <c r="H528" i="1" s="1"/>
  <c r="F529" i="1"/>
  <c r="K527" i="1"/>
  <c r="J527" i="1"/>
  <c r="I527" i="1"/>
  <c r="L527" i="1" l="1"/>
  <c r="M527" i="1"/>
  <c r="G529" i="1"/>
  <c r="H529" i="1" s="1"/>
  <c r="F530" i="1"/>
  <c r="K528" i="1"/>
  <c r="I528" i="1"/>
  <c r="J528" i="1"/>
  <c r="M528" i="1" l="1"/>
  <c r="L528" i="1"/>
  <c r="G530" i="1"/>
  <c r="H530" i="1" s="1"/>
  <c r="F531" i="1"/>
  <c r="K529" i="1"/>
  <c r="J529" i="1"/>
  <c r="I529" i="1"/>
  <c r="M529" i="1" l="1"/>
  <c r="L529" i="1"/>
  <c r="G531" i="1"/>
  <c r="H531" i="1" s="1"/>
  <c r="F532" i="1"/>
  <c r="J530" i="1"/>
  <c r="I530" i="1"/>
  <c r="K530" i="1"/>
  <c r="M530" i="1" l="1"/>
  <c r="L530" i="1"/>
  <c r="G532" i="1"/>
  <c r="H532" i="1" s="1"/>
  <c r="F533" i="1"/>
  <c r="K531" i="1"/>
  <c r="J531" i="1"/>
  <c r="I531" i="1"/>
  <c r="G533" i="1" l="1"/>
  <c r="H533" i="1" s="1"/>
  <c r="F534" i="1"/>
  <c r="K532" i="1"/>
  <c r="J532" i="1"/>
  <c r="I532" i="1"/>
  <c r="L531" i="1"/>
  <c r="M531" i="1"/>
  <c r="M532" i="1" l="1"/>
  <c r="L532" i="1"/>
  <c r="G534" i="1"/>
  <c r="H534" i="1" s="1"/>
  <c r="F535" i="1"/>
  <c r="K533" i="1"/>
  <c r="J533" i="1"/>
  <c r="I533" i="1"/>
  <c r="M533" i="1" l="1"/>
  <c r="L533" i="1"/>
  <c r="G535" i="1"/>
  <c r="H535" i="1" s="1"/>
  <c r="F536" i="1"/>
  <c r="K534" i="1"/>
  <c r="I534" i="1"/>
  <c r="J534" i="1"/>
  <c r="M534" i="1" l="1"/>
  <c r="L534" i="1"/>
  <c r="G536" i="1"/>
  <c r="H536" i="1" s="1"/>
  <c r="F537" i="1"/>
  <c r="K535" i="1"/>
  <c r="J535" i="1"/>
  <c r="I535" i="1"/>
  <c r="M535" i="1" l="1"/>
  <c r="L535" i="1"/>
  <c r="G537" i="1"/>
  <c r="H537" i="1" s="1"/>
  <c r="F538" i="1"/>
  <c r="J536" i="1"/>
  <c r="I536" i="1"/>
  <c r="K536" i="1"/>
  <c r="M536" i="1" l="1"/>
  <c r="L536" i="1"/>
  <c r="G538" i="1"/>
  <c r="H538" i="1" s="1"/>
  <c r="F539" i="1"/>
  <c r="K537" i="1"/>
  <c r="J537" i="1"/>
  <c r="I537" i="1"/>
  <c r="G539" i="1" l="1"/>
  <c r="H539" i="1" s="1"/>
  <c r="F540" i="1"/>
  <c r="L537" i="1"/>
  <c r="M537" i="1"/>
  <c r="K538" i="1"/>
  <c r="J538" i="1"/>
  <c r="I538" i="1"/>
  <c r="M538" i="1" l="1"/>
  <c r="L538" i="1"/>
  <c r="G540" i="1"/>
  <c r="H540" i="1" s="1"/>
  <c r="F541" i="1"/>
  <c r="K539" i="1"/>
  <c r="J539" i="1"/>
  <c r="I539" i="1"/>
  <c r="M539" i="1" l="1"/>
  <c r="L539" i="1"/>
  <c r="G541" i="1"/>
  <c r="H541" i="1" s="1"/>
  <c r="F542" i="1"/>
  <c r="K540" i="1"/>
  <c r="I540" i="1"/>
  <c r="J540" i="1"/>
  <c r="M540" i="1" l="1"/>
  <c r="L540" i="1"/>
  <c r="G542" i="1"/>
  <c r="H542" i="1" s="1"/>
  <c r="F543" i="1"/>
  <c r="K541" i="1"/>
  <c r="J541" i="1"/>
  <c r="I541" i="1"/>
  <c r="M541" i="1" l="1"/>
  <c r="L541" i="1"/>
  <c r="G543" i="1"/>
  <c r="H543" i="1" s="1"/>
  <c r="F544" i="1"/>
  <c r="J542" i="1"/>
  <c r="I542" i="1"/>
  <c r="K542" i="1"/>
  <c r="M542" i="1" l="1"/>
  <c r="L542" i="1"/>
  <c r="F545" i="1"/>
  <c r="G544" i="1"/>
  <c r="H544" i="1" s="1"/>
  <c r="K543" i="1"/>
  <c r="J543" i="1"/>
  <c r="I543" i="1"/>
  <c r="K544" i="1" l="1"/>
  <c r="J544" i="1"/>
  <c r="I544" i="1"/>
  <c r="G545" i="1"/>
  <c r="H545" i="1" s="1"/>
  <c r="F546" i="1"/>
  <c r="L543" i="1"/>
  <c r="M543" i="1"/>
  <c r="G546" i="1" l="1"/>
  <c r="H546" i="1" s="1"/>
  <c r="F547" i="1"/>
  <c r="J545" i="1"/>
  <c r="K545" i="1"/>
  <c r="I545" i="1"/>
  <c r="M544" i="1"/>
  <c r="L544" i="1"/>
  <c r="M545" i="1" l="1"/>
  <c r="L545" i="1"/>
  <c r="G547" i="1"/>
  <c r="H547" i="1" s="1"/>
  <c r="F548" i="1"/>
  <c r="J546" i="1"/>
  <c r="I546" i="1"/>
  <c r="K546" i="1"/>
  <c r="L546" i="1" l="1"/>
  <c r="M546" i="1"/>
  <c r="G548" i="1"/>
  <c r="H548" i="1" s="1"/>
  <c r="F549" i="1"/>
  <c r="K547" i="1"/>
  <c r="J547" i="1"/>
  <c r="I547" i="1"/>
  <c r="M547" i="1" l="1"/>
  <c r="L547" i="1"/>
  <c r="G549" i="1"/>
  <c r="H549" i="1" s="1"/>
  <c r="F550" i="1"/>
  <c r="K548" i="1"/>
  <c r="J548" i="1"/>
  <c r="I548" i="1"/>
  <c r="K549" i="1" l="1"/>
  <c r="I549" i="1"/>
  <c r="J549" i="1"/>
  <c r="M548" i="1"/>
  <c r="L548" i="1"/>
  <c r="F551" i="1"/>
  <c r="G550" i="1"/>
  <c r="H550" i="1" s="1"/>
  <c r="K550" i="1" l="1"/>
  <c r="J550" i="1"/>
  <c r="I550" i="1"/>
  <c r="G551" i="1"/>
  <c r="H551" i="1" s="1"/>
  <c r="F552" i="1"/>
  <c r="M549" i="1"/>
  <c r="L549" i="1"/>
  <c r="G552" i="1" l="1"/>
  <c r="H552" i="1" s="1"/>
  <c r="F553" i="1"/>
  <c r="J551" i="1"/>
  <c r="I551" i="1"/>
  <c r="K551" i="1"/>
  <c r="M550" i="1"/>
  <c r="L550" i="1"/>
  <c r="M551" i="1" l="1"/>
  <c r="L551" i="1"/>
  <c r="G553" i="1"/>
  <c r="H553" i="1" s="1"/>
  <c r="F554" i="1"/>
  <c r="K552" i="1"/>
  <c r="J552" i="1"/>
  <c r="I552" i="1"/>
  <c r="L552" i="1" l="1"/>
  <c r="M552" i="1"/>
  <c r="G554" i="1"/>
  <c r="H554" i="1" s="1"/>
  <c r="F555" i="1"/>
  <c r="K553" i="1"/>
  <c r="J553" i="1"/>
  <c r="I553" i="1"/>
  <c r="M553" i="1" l="1"/>
  <c r="L553" i="1"/>
  <c r="G555" i="1"/>
  <c r="H555" i="1" s="1"/>
  <c r="F556" i="1"/>
  <c r="K554" i="1"/>
  <c r="J554" i="1"/>
  <c r="I554" i="1"/>
  <c r="M554" i="1" l="1"/>
  <c r="L554" i="1"/>
  <c r="G556" i="1"/>
  <c r="H556" i="1" s="1"/>
  <c r="F557" i="1"/>
  <c r="I555" i="1"/>
  <c r="J555" i="1"/>
  <c r="K555" i="1"/>
  <c r="M555" i="1" l="1"/>
  <c r="L555" i="1"/>
  <c r="G557" i="1"/>
  <c r="H557" i="1" s="1"/>
  <c r="F558" i="1"/>
  <c r="K556" i="1"/>
  <c r="J556" i="1"/>
  <c r="I556" i="1"/>
  <c r="G558" i="1" l="1"/>
  <c r="H558" i="1" s="1"/>
  <c r="F559" i="1"/>
  <c r="M556" i="1"/>
  <c r="L556" i="1"/>
  <c r="J557" i="1"/>
  <c r="I557" i="1"/>
  <c r="K557" i="1"/>
  <c r="M557" i="1" l="1"/>
  <c r="L557" i="1"/>
  <c r="G559" i="1"/>
  <c r="H559" i="1" s="1"/>
  <c r="F560" i="1"/>
  <c r="K558" i="1"/>
  <c r="J558" i="1"/>
  <c r="I558" i="1"/>
  <c r="G560" i="1" l="1"/>
  <c r="H560" i="1" s="1"/>
  <c r="F561" i="1"/>
  <c r="L558" i="1"/>
  <c r="M558" i="1"/>
  <c r="K559" i="1"/>
  <c r="J559" i="1"/>
  <c r="I559" i="1"/>
  <c r="M559" i="1" l="1"/>
  <c r="L559" i="1"/>
  <c r="G561" i="1"/>
  <c r="H561" i="1" s="1"/>
  <c r="F562" i="1"/>
  <c r="K560" i="1"/>
  <c r="J560" i="1"/>
  <c r="I560" i="1"/>
  <c r="M560" i="1" l="1"/>
  <c r="L560" i="1"/>
  <c r="G562" i="1"/>
  <c r="H562" i="1" s="1"/>
  <c r="F563" i="1"/>
  <c r="I561" i="1"/>
  <c r="K561" i="1"/>
  <c r="J561" i="1"/>
  <c r="M561" i="1" l="1"/>
  <c r="L561" i="1"/>
  <c r="G563" i="1"/>
  <c r="H563" i="1" s="1"/>
  <c r="F564" i="1"/>
  <c r="K562" i="1"/>
  <c r="I562" i="1"/>
  <c r="J562" i="1"/>
  <c r="L562" i="1" l="1"/>
  <c r="M562" i="1"/>
  <c r="F565" i="1"/>
  <c r="G564" i="1"/>
  <c r="H564" i="1" s="1"/>
  <c r="J563" i="1"/>
  <c r="K563" i="1"/>
  <c r="I563" i="1"/>
  <c r="M563" i="1" l="1"/>
  <c r="L563" i="1"/>
  <c r="K564" i="1"/>
  <c r="I564" i="1"/>
  <c r="J564" i="1"/>
  <c r="G565" i="1"/>
  <c r="H565" i="1" s="1"/>
  <c r="F566" i="1"/>
  <c r="G566" i="1" l="1"/>
  <c r="H566" i="1" s="1"/>
  <c r="F567" i="1"/>
  <c r="J565" i="1"/>
  <c r="I565" i="1"/>
  <c r="K565" i="1"/>
  <c r="L564" i="1"/>
  <c r="M564" i="1"/>
  <c r="L565" i="1" l="1"/>
  <c r="M565" i="1"/>
  <c r="G567" i="1"/>
  <c r="H567" i="1" s="1"/>
  <c r="F568" i="1"/>
  <c r="J566" i="1"/>
  <c r="I566" i="1"/>
  <c r="K566" i="1"/>
  <c r="M566" i="1" l="1"/>
  <c r="L566" i="1"/>
  <c r="G568" i="1"/>
  <c r="H568" i="1" s="1"/>
  <c r="F569" i="1"/>
  <c r="I567" i="1"/>
  <c r="K567" i="1"/>
  <c r="J567" i="1"/>
  <c r="M567" i="1" l="1"/>
  <c r="L567" i="1"/>
  <c r="G569" i="1"/>
  <c r="H569" i="1" s="1"/>
  <c r="F570" i="1"/>
  <c r="K568" i="1"/>
  <c r="J568" i="1"/>
  <c r="I568" i="1"/>
  <c r="G570" i="1" l="1"/>
  <c r="H570" i="1" s="1"/>
  <c r="F571" i="1"/>
  <c r="M568" i="1"/>
  <c r="L568" i="1"/>
  <c r="J569" i="1"/>
  <c r="K569" i="1"/>
  <c r="I569" i="1"/>
  <c r="M569" i="1" l="1"/>
  <c r="L569" i="1"/>
  <c r="F572" i="1"/>
  <c r="G571" i="1"/>
  <c r="H571" i="1" s="1"/>
  <c r="K570" i="1"/>
  <c r="J570" i="1"/>
  <c r="I570" i="1"/>
  <c r="L570" i="1" l="1"/>
  <c r="M570" i="1"/>
  <c r="G572" i="1"/>
  <c r="H572" i="1" s="1"/>
  <c r="F573" i="1"/>
  <c r="K571" i="1"/>
  <c r="J571" i="1"/>
  <c r="I571" i="1"/>
  <c r="G573" i="1" l="1"/>
  <c r="H573" i="1" s="1"/>
  <c r="F574" i="1"/>
  <c r="M571" i="1"/>
  <c r="L571" i="1"/>
  <c r="K572" i="1"/>
  <c r="J572" i="1"/>
  <c r="I572" i="1"/>
  <c r="I573" i="1" l="1"/>
  <c r="J573" i="1"/>
  <c r="K573" i="1"/>
  <c r="M572" i="1"/>
  <c r="L572" i="1"/>
  <c r="G574" i="1"/>
  <c r="H574" i="1" s="1"/>
  <c r="F575" i="1"/>
  <c r="K574" i="1" l="1"/>
  <c r="J574" i="1"/>
  <c r="I574" i="1"/>
  <c r="G575" i="1"/>
  <c r="H575" i="1" s="1"/>
  <c r="F576" i="1"/>
  <c r="M573" i="1"/>
  <c r="L573" i="1"/>
  <c r="G576" i="1" l="1"/>
  <c r="H576" i="1" s="1"/>
  <c r="F577" i="1"/>
  <c r="J575" i="1"/>
  <c r="I575" i="1"/>
  <c r="K575" i="1"/>
  <c r="M574" i="1"/>
  <c r="L574" i="1"/>
  <c r="M575" i="1" l="1"/>
  <c r="L575" i="1"/>
  <c r="G577" i="1"/>
  <c r="H577" i="1" s="1"/>
  <c r="F578" i="1"/>
  <c r="K576" i="1"/>
  <c r="J576" i="1"/>
  <c r="I576" i="1"/>
  <c r="G578" i="1" l="1"/>
  <c r="H578" i="1" s="1"/>
  <c r="F579" i="1"/>
  <c r="L576" i="1"/>
  <c r="M576" i="1"/>
  <c r="K577" i="1"/>
  <c r="J577" i="1"/>
  <c r="I577" i="1"/>
  <c r="K578" i="1" l="1"/>
  <c r="J578" i="1"/>
  <c r="I578" i="1"/>
  <c r="M577" i="1"/>
  <c r="L577" i="1"/>
  <c r="G579" i="1"/>
  <c r="H579" i="1" s="1"/>
  <c r="F580" i="1"/>
  <c r="I579" i="1" l="1"/>
  <c r="K579" i="1"/>
  <c r="J579" i="1"/>
  <c r="G580" i="1"/>
  <c r="H580" i="1" s="1"/>
  <c r="F581" i="1"/>
  <c r="M578" i="1"/>
  <c r="L578" i="1"/>
  <c r="G581" i="1" l="1"/>
  <c r="H581" i="1" s="1"/>
  <c r="F582" i="1"/>
  <c r="K580" i="1"/>
  <c r="I580" i="1"/>
  <c r="J580" i="1"/>
  <c r="M579" i="1"/>
  <c r="L579" i="1"/>
  <c r="F583" i="1" l="1"/>
  <c r="G582" i="1"/>
  <c r="H582" i="1" s="1"/>
  <c r="L580" i="1"/>
  <c r="M580" i="1"/>
  <c r="J581" i="1"/>
  <c r="K581" i="1"/>
  <c r="I581" i="1"/>
  <c r="M581" i="1" l="1"/>
  <c r="L581" i="1"/>
  <c r="K582" i="1"/>
  <c r="I582" i="1"/>
  <c r="J582" i="1"/>
  <c r="G583" i="1"/>
  <c r="H583" i="1" s="1"/>
  <c r="F584" i="1"/>
  <c r="G584" i="1" l="1"/>
  <c r="H584" i="1" s="1"/>
  <c r="F585" i="1"/>
  <c r="K583" i="1"/>
  <c r="J583" i="1"/>
  <c r="I583" i="1"/>
  <c r="L582" i="1"/>
  <c r="M582" i="1"/>
  <c r="L583" i="1" l="1"/>
  <c r="M583" i="1"/>
  <c r="G585" i="1"/>
  <c r="H585" i="1" s="1"/>
  <c r="F586" i="1"/>
  <c r="J584" i="1"/>
  <c r="I584" i="1"/>
  <c r="K584" i="1"/>
  <c r="I585" i="1" l="1"/>
  <c r="K585" i="1"/>
  <c r="J585" i="1"/>
  <c r="M584" i="1"/>
  <c r="L584" i="1"/>
  <c r="G586" i="1"/>
  <c r="H586" i="1" s="1"/>
  <c r="F587" i="1"/>
  <c r="G587" i="1" l="1"/>
  <c r="H587" i="1" s="1"/>
  <c r="F588" i="1"/>
  <c r="K586" i="1"/>
  <c r="J586" i="1"/>
  <c r="I586" i="1"/>
  <c r="M585" i="1"/>
  <c r="L585" i="1"/>
  <c r="M586" i="1" l="1"/>
  <c r="L586" i="1"/>
  <c r="F589" i="1"/>
  <c r="G588" i="1"/>
  <c r="H588" i="1" s="1"/>
  <c r="J587" i="1"/>
  <c r="I587" i="1"/>
  <c r="K587" i="1"/>
  <c r="M587" i="1" l="1"/>
  <c r="L587" i="1"/>
  <c r="J588" i="1"/>
  <c r="K588" i="1"/>
  <c r="I588" i="1"/>
  <c r="G589" i="1"/>
  <c r="H589" i="1" s="1"/>
  <c r="F590" i="1"/>
  <c r="G590" i="1" l="1"/>
  <c r="H590" i="1" s="1"/>
  <c r="F591" i="1"/>
  <c r="J589" i="1"/>
  <c r="K589" i="1"/>
  <c r="I589" i="1"/>
  <c r="L588" i="1"/>
  <c r="M588" i="1"/>
  <c r="L589" i="1" l="1"/>
  <c r="M589" i="1"/>
  <c r="G591" i="1"/>
  <c r="H591" i="1" s="1"/>
  <c r="F592" i="1"/>
  <c r="K590" i="1"/>
  <c r="J590" i="1"/>
  <c r="I590" i="1"/>
  <c r="L590" i="1" l="1"/>
  <c r="M590" i="1"/>
  <c r="I591" i="1"/>
  <c r="K591" i="1"/>
  <c r="J591" i="1"/>
  <c r="G592" i="1"/>
  <c r="H592" i="1" s="1"/>
  <c r="F593" i="1"/>
  <c r="G593" i="1" l="1"/>
  <c r="H593" i="1" s="1"/>
  <c r="F594" i="1"/>
  <c r="K592" i="1"/>
  <c r="J592" i="1"/>
  <c r="I592" i="1"/>
  <c r="M591" i="1"/>
  <c r="L591" i="1"/>
  <c r="J593" i="1" l="1"/>
  <c r="K593" i="1"/>
  <c r="I593" i="1"/>
  <c r="L592" i="1"/>
  <c r="M592" i="1"/>
  <c r="F595" i="1"/>
  <c r="G594" i="1"/>
  <c r="H594" i="1" s="1"/>
  <c r="J594" i="1" l="1"/>
  <c r="I594" i="1"/>
  <c r="K594" i="1"/>
  <c r="G595" i="1"/>
  <c r="H595" i="1" s="1"/>
  <c r="F596" i="1"/>
  <c r="M593" i="1"/>
  <c r="L593" i="1"/>
  <c r="G596" i="1" l="1"/>
  <c r="H596" i="1" s="1"/>
  <c r="F597" i="1"/>
  <c r="K595" i="1"/>
  <c r="J595" i="1"/>
  <c r="I595" i="1"/>
  <c r="L594" i="1"/>
  <c r="M594" i="1"/>
  <c r="L595" i="1" l="1"/>
  <c r="M595" i="1"/>
  <c r="G597" i="1"/>
  <c r="H597" i="1" s="1"/>
  <c r="F598" i="1"/>
  <c r="K596" i="1"/>
  <c r="J596" i="1"/>
  <c r="I596" i="1"/>
  <c r="M596" i="1" l="1"/>
  <c r="L596" i="1"/>
  <c r="G598" i="1"/>
  <c r="H598" i="1" s="1"/>
  <c r="F599" i="1"/>
  <c r="I597" i="1"/>
  <c r="K597" i="1"/>
  <c r="J597" i="1"/>
  <c r="L597" i="1" l="1"/>
  <c r="M597" i="1"/>
  <c r="G599" i="1"/>
  <c r="H599" i="1" s="1"/>
  <c r="F600" i="1"/>
  <c r="K598" i="1"/>
  <c r="I598" i="1"/>
  <c r="J598" i="1"/>
  <c r="M598" i="1" l="1"/>
  <c r="L598" i="1"/>
  <c r="F601" i="1"/>
  <c r="G600" i="1"/>
  <c r="H600" i="1" s="1"/>
  <c r="J599" i="1"/>
  <c r="K599" i="1"/>
  <c r="I599" i="1"/>
  <c r="M599" i="1" l="1"/>
  <c r="L599" i="1"/>
  <c r="J600" i="1"/>
  <c r="I600" i="1"/>
  <c r="K600" i="1"/>
  <c r="G601" i="1"/>
  <c r="H601" i="1" s="1"/>
  <c r="F602" i="1"/>
  <c r="G602" i="1" l="1"/>
  <c r="H602" i="1" s="1"/>
  <c r="F603" i="1"/>
  <c r="K601" i="1"/>
  <c r="J601" i="1"/>
  <c r="I601" i="1"/>
  <c r="L600" i="1"/>
  <c r="M600" i="1"/>
  <c r="L601" i="1" l="1"/>
  <c r="M601" i="1"/>
  <c r="G603" i="1"/>
  <c r="H603" i="1" s="1"/>
  <c r="F604" i="1"/>
  <c r="K602" i="1"/>
  <c r="J602" i="1"/>
  <c r="I602" i="1"/>
  <c r="M602" i="1" l="1"/>
  <c r="L602" i="1"/>
  <c r="G604" i="1"/>
  <c r="H604" i="1" s="1"/>
  <c r="F605" i="1"/>
  <c r="I603" i="1"/>
  <c r="K603" i="1"/>
  <c r="J603" i="1"/>
  <c r="M603" i="1" l="1"/>
  <c r="L603" i="1"/>
  <c r="G605" i="1"/>
  <c r="H605" i="1" s="1"/>
  <c r="F606" i="1"/>
  <c r="K604" i="1"/>
  <c r="J604" i="1"/>
  <c r="I604" i="1"/>
  <c r="M604" i="1" l="1"/>
  <c r="L604" i="1"/>
  <c r="G606" i="1"/>
  <c r="H606" i="1" s="1"/>
  <c r="F607" i="1"/>
  <c r="J605" i="1"/>
  <c r="K605" i="1"/>
  <c r="I605" i="1"/>
  <c r="M605" i="1" l="1"/>
  <c r="L605" i="1"/>
  <c r="G607" i="1"/>
  <c r="H607" i="1" s="1"/>
  <c r="F608" i="1"/>
  <c r="J606" i="1"/>
  <c r="I606" i="1"/>
  <c r="K606" i="1"/>
  <c r="L606" i="1" l="1"/>
  <c r="M606" i="1"/>
  <c r="G608" i="1"/>
  <c r="H608" i="1" s="1"/>
  <c r="F609" i="1"/>
  <c r="K607" i="1"/>
  <c r="J607" i="1"/>
  <c r="I607" i="1"/>
  <c r="L607" i="1" l="1"/>
  <c r="M607" i="1"/>
  <c r="F610" i="1"/>
  <c r="G609" i="1"/>
  <c r="H609" i="1" s="1"/>
  <c r="K608" i="1"/>
  <c r="J608" i="1"/>
  <c r="I608" i="1"/>
  <c r="M608" i="1" l="1"/>
  <c r="L608" i="1"/>
  <c r="K609" i="1"/>
  <c r="J609" i="1"/>
  <c r="I609" i="1"/>
  <c r="G610" i="1"/>
  <c r="H610" i="1" s="1"/>
  <c r="F611" i="1"/>
  <c r="G611" i="1" l="1"/>
  <c r="H611" i="1" s="1"/>
  <c r="F612" i="1"/>
  <c r="J610" i="1"/>
  <c r="I610" i="1"/>
  <c r="K610" i="1"/>
  <c r="M609" i="1"/>
  <c r="L609" i="1"/>
  <c r="M610" i="1" l="1"/>
  <c r="L610" i="1"/>
  <c r="G612" i="1"/>
  <c r="H612" i="1" s="1"/>
  <c r="F613" i="1"/>
  <c r="K611" i="1"/>
  <c r="J611" i="1"/>
  <c r="I611" i="1"/>
  <c r="M611" i="1" l="1"/>
  <c r="L611" i="1"/>
  <c r="G613" i="1"/>
  <c r="H613" i="1" s="1"/>
  <c r="F614" i="1"/>
  <c r="I612" i="1"/>
  <c r="K612" i="1"/>
  <c r="J612" i="1"/>
  <c r="G614" i="1" l="1"/>
  <c r="H614" i="1" s="1"/>
  <c r="F615" i="1"/>
  <c r="M612" i="1"/>
  <c r="L612" i="1"/>
  <c r="K613" i="1"/>
  <c r="J613" i="1"/>
  <c r="I613" i="1"/>
  <c r="M613" i="1" l="1"/>
  <c r="L613" i="1"/>
  <c r="G615" i="1"/>
  <c r="H615" i="1" s="1"/>
  <c r="F616" i="1"/>
  <c r="K614" i="1"/>
  <c r="J614" i="1"/>
  <c r="I614" i="1"/>
  <c r="G616" i="1" l="1"/>
  <c r="H616" i="1" s="1"/>
  <c r="F617" i="1"/>
  <c r="M614" i="1"/>
  <c r="L614" i="1"/>
  <c r="I615" i="1"/>
  <c r="K615" i="1"/>
  <c r="J615" i="1"/>
  <c r="L615" i="1" l="1"/>
  <c r="M615" i="1"/>
  <c r="G617" i="1"/>
  <c r="H617" i="1" s="1"/>
  <c r="F618" i="1"/>
  <c r="I616" i="1"/>
  <c r="K616" i="1"/>
  <c r="J616" i="1"/>
  <c r="L616" i="1" l="1"/>
  <c r="M616" i="1"/>
  <c r="G618" i="1"/>
  <c r="H618" i="1" s="1"/>
  <c r="F619" i="1"/>
  <c r="I617" i="1"/>
  <c r="K617" i="1"/>
  <c r="J617" i="1"/>
  <c r="M617" i="1" l="1"/>
  <c r="L617" i="1"/>
  <c r="G619" i="1"/>
  <c r="H619" i="1" s="1"/>
  <c r="F620" i="1"/>
  <c r="I618" i="1"/>
  <c r="J618" i="1"/>
  <c r="K618" i="1"/>
  <c r="M618" i="1" l="1"/>
  <c r="L618" i="1"/>
  <c r="G620" i="1"/>
  <c r="H620" i="1" s="1"/>
  <c r="F621" i="1"/>
  <c r="K619" i="1"/>
  <c r="J619" i="1"/>
  <c r="I619" i="1"/>
  <c r="M619" i="1" l="1"/>
  <c r="L619" i="1"/>
  <c r="G621" i="1"/>
  <c r="H621" i="1" s="1"/>
  <c r="F622" i="1"/>
  <c r="K620" i="1"/>
  <c r="J620" i="1"/>
  <c r="I620" i="1"/>
  <c r="M620" i="1" l="1"/>
  <c r="L620" i="1"/>
  <c r="G622" i="1"/>
  <c r="H622" i="1" s="1"/>
  <c r="F623" i="1"/>
  <c r="K621" i="1"/>
  <c r="J621" i="1"/>
  <c r="I621" i="1"/>
  <c r="G623" i="1" l="1"/>
  <c r="H623" i="1" s="1"/>
  <c r="F624" i="1"/>
  <c r="M621" i="1"/>
  <c r="L621" i="1"/>
  <c r="K622" i="1"/>
  <c r="J622" i="1"/>
  <c r="I622" i="1"/>
  <c r="M622" i="1" l="1"/>
  <c r="L622" i="1"/>
  <c r="G624" i="1"/>
  <c r="H624" i="1" s="1"/>
  <c r="F625" i="1"/>
  <c r="I623" i="1"/>
  <c r="K623" i="1"/>
  <c r="J623" i="1"/>
  <c r="I624" i="1" l="1"/>
  <c r="K624" i="1"/>
  <c r="J624" i="1"/>
  <c r="M623" i="1"/>
  <c r="L623" i="1"/>
  <c r="G625" i="1"/>
  <c r="H625" i="1" s="1"/>
  <c r="F626" i="1"/>
  <c r="K625" i="1" l="1"/>
  <c r="J625" i="1"/>
  <c r="I625" i="1"/>
  <c r="G626" i="1"/>
  <c r="H626" i="1" s="1"/>
  <c r="F627" i="1"/>
  <c r="M624" i="1"/>
  <c r="L624" i="1"/>
  <c r="G627" i="1" l="1"/>
  <c r="H627" i="1" s="1"/>
  <c r="F628" i="1"/>
  <c r="K626" i="1"/>
  <c r="J626" i="1"/>
  <c r="I626" i="1"/>
  <c r="M625" i="1"/>
  <c r="L625" i="1"/>
  <c r="M626" i="1" l="1"/>
  <c r="L626" i="1"/>
  <c r="G628" i="1"/>
  <c r="H628" i="1" s="1"/>
  <c r="F629" i="1"/>
  <c r="K627" i="1"/>
  <c r="I627" i="1"/>
  <c r="J627" i="1"/>
  <c r="M627" i="1" l="1"/>
  <c r="L627" i="1"/>
  <c r="G629" i="1"/>
  <c r="H629" i="1" s="1"/>
  <c r="F630" i="1"/>
  <c r="I628" i="1"/>
  <c r="K628" i="1"/>
  <c r="J628" i="1"/>
  <c r="M628" i="1" l="1"/>
  <c r="L628" i="1"/>
  <c r="G630" i="1"/>
  <c r="H630" i="1" s="1"/>
  <c r="F631" i="1"/>
  <c r="J629" i="1"/>
  <c r="K629" i="1"/>
  <c r="I629" i="1"/>
  <c r="M629" i="1" l="1"/>
  <c r="L629" i="1"/>
  <c r="G631" i="1"/>
  <c r="H631" i="1" s="1"/>
  <c r="F632" i="1"/>
  <c r="I630" i="1"/>
  <c r="K630" i="1"/>
  <c r="J630" i="1"/>
  <c r="M630" i="1" l="1"/>
  <c r="L630" i="1"/>
  <c r="G632" i="1"/>
  <c r="H632" i="1" s="1"/>
  <c r="F633" i="1"/>
  <c r="K631" i="1"/>
  <c r="J631" i="1"/>
  <c r="I631" i="1"/>
  <c r="G633" i="1" l="1"/>
  <c r="H633" i="1" s="1"/>
  <c r="F634" i="1"/>
  <c r="M631" i="1"/>
  <c r="L631" i="1"/>
  <c r="K632" i="1"/>
  <c r="J632" i="1"/>
  <c r="I632" i="1"/>
  <c r="M632" i="1" l="1"/>
  <c r="L632" i="1"/>
  <c r="G634" i="1"/>
  <c r="H634" i="1" s="1"/>
  <c r="F635" i="1"/>
  <c r="I633" i="1"/>
  <c r="K633" i="1"/>
  <c r="J633" i="1"/>
  <c r="M633" i="1" l="1"/>
  <c r="L633" i="1"/>
  <c r="G635" i="1"/>
  <c r="H635" i="1" s="1"/>
  <c r="F636" i="1"/>
  <c r="I634" i="1"/>
  <c r="K634" i="1"/>
  <c r="J634" i="1"/>
  <c r="L634" i="1" l="1"/>
  <c r="M634" i="1"/>
  <c r="F637" i="1"/>
  <c r="G636" i="1"/>
  <c r="H636" i="1" s="1"/>
  <c r="I635" i="1"/>
  <c r="K635" i="1"/>
  <c r="J635" i="1"/>
  <c r="M635" i="1" l="1"/>
  <c r="L635" i="1"/>
  <c r="I636" i="1"/>
  <c r="K636" i="1"/>
  <c r="J636" i="1"/>
  <c r="G637" i="1"/>
  <c r="H637" i="1" s="1"/>
  <c r="F638" i="1"/>
  <c r="G638" i="1" l="1"/>
  <c r="H638" i="1" s="1"/>
  <c r="F639" i="1"/>
  <c r="K637" i="1"/>
  <c r="J637" i="1"/>
  <c r="I637" i="1"/>
  <c r="M636" i="1"/>
  <c r="L636" i="1"/>
  <c r="M637" i="1" l="1"/>
  <c r="L637" i="1"/>
  <c r="G639" i="1"/>
  <c r="H639" i="1" s="1"/>
  <c r="F640" i="1"/>
  <c r="K638" i="1"/>
  <c r="J638" i="1"/>
  <c r="I638" i="1"/>
  <c r="M638" i="1" l="1"/>
  <c r="L638" i="1"/>
  <c r="G640" i="1"/>
  <c r="H640" i="1" s="1"/>
  <c r="F641" i="1"/>
  <c r="K639" i="1"/>
  <c r="J639" i="1"/>
  <c r="I639" i="1"/>
  <c r="M639" i="1" l="1"/>
  <c r="L639" i="1"/>
  <c r="K640" i="1"/>
  <c r="J640" i="1"/>
  <c r="I640" i="1"/>
  <c r="G641" i="1"/>
  <c r="H641" i="1" s="1"/>
  <c r="F642" i="1"/>
  <c r="I641" i="1" l="1"/>
  <c r="K641" i="1"/>
  <c r="J641" i="1"/>
  <c r="M640" i="1"/>
  <c r="L640" i="1"/>
  <c r="G642" i="1"/>
  <c r="H642" i="1" s="1"/>
  <c r="F643" i="1"/>
  <c r="G643" i="1" l="1"/>
  <c r="H643" i="1" s="1"/>
  <c r="F644" i="1"/>
  <c r="I642" i="1"/>
  <c r="K642" i="1"/>
  <c r="J642" i="1"/>
  <c r="L641" i="1"/>
  <c r="M641" i="1"/>
  <c r="M642" i="1" l="1"/>
  <c r="L642" i="1"/>
  <c r="G644" i="1"/>
  <c r="H644" i="1" s="1"/>
  <c r="F645" i="1"/>
  <c r="K643" i="1"/>
  <c r="J643" i="1"/>
  <c r="I643" i="1"/>
  <c r="M643" i="1" l="1"/>
  <c r="L643" i="1"/>
  <c r="G645" i="1"/>
  <c r="H645" i="1" s="1"/>
  <c r="F646" i="1"/>
  <c r="K644" i="1"/>
  <c r="J644" i="1"/>
  <c r="I644" i="1"/>
  <c r="M644" i="1" l="1"/>
  <c r="L644" i="1"/>
  <c r="G646" i="1"/>
  <c r="H646" i="1" s="1"/>
  <c r="F647" i="1"/>
  <c r="K645" i="1"/>
  <c r="I645" i="1"/>
  <c r="J645" i="1"/>
  <c r="M645" i="1" l="1"/>
  <c r="L645" i="1"/>
  <c r="G647" i="1"/>
  <c r="H647" i="1" s="1"/>
  <c r="F648" i="1"/>
  <c r="I646" i="1"/>
  <c r="K646" i="1"/>
  <c r="J646" i="1"/>
  <c r="M646" i="1" l="1"/>
  <c r="L646" i="1"/>
  <c r="G648" i="1"/>
  <c r="H648" i="1" s="1"/>
  <c r="F649" i="1"/>
  <c r="J647" i="1"/>
  <c r="K647" i="1"/>
  <c r="I647" i="1"/>
  <c r="M647" i="1" l="1"/>
  <c r="L647" i="1"/>
  <c r="G649" i="1"/>
  <c r="H649" i="1" s="1"/>
  <c r="F650" i="1"/>
  <c r="I648" i="1"/>
  <c r="K648" i="1"/>
  <c r="J648" i="1"/>
  <c r="M648" i="1" l="1"/>
  <c r="L648" i="1"/>
  <c r="G650" i="1"/>
  <c r="H650" i="1" s="1"/>
  <c r="F651" i="1"/>
  <c r="K649" i="1"/>
  <c r="J649" i="1"/>
  <c r="I649" i="1"/>
  <c r="M649" i="1" l="1"/>
  <c r="L649" i="1"/>
  <c r="G651" i="1"/>
  <c r="H651" i="1" s="1"/>
  <c r="F652" i="1"/>
  <c r="K650" i="1"/>
  <c r="J650" i="1"/>
  <c r="I650" i="1"/>
  <c r="M650" i="1" l="1"/>
  <c r="L650" i="1"/>
  <c r="G652" i="1"/>
  <c r="H652" i="1" s="1"/>
  <c r="F653" i="1"/>
  <c r="I651" i="1"/>
  <c r="K651" i="1"/>
  <c r="J651" i="1"/>
  <c r="M651" i="1" l="1"/>
  <c r="L651" i="1"/>
  <c r="G653" i="1"/>
  <c r="H653" i="1" s="1"/>
  <c r="F654" i="1"/>
  <c r="I652" i="1"/>
  <c r="J652" i="1"/>
  <c r="K652" i="1"/>
  <c r="L652" i="1" l="1"/>
  <c r="M652" i="1"/>
  <c r="G654" i="1"/>
  <c r="H654" i="1" s="1"/>
  <c r="F655" i="1"/>
  <c r="I653" i="1"/>
  <c r="K653" i="1"/>
  <c r="J653" i="1"/>
  <c r="M653" i="1" l="1"/>
  <c r="L653" i="1"/>
  <c r="G655" i="1"/>
  <c r="H655" i="1" s="1"/>
  <c r="F656" i="1"/>
  <c r="I654" i="1"/>
  <c r="K654" i="1"/>
  <c r="J654" i="1"/>
  <c r="M654" i="1" l="1"/>
  <c r="L654" i="1"/>
  <c r="G656" i="1"/>
  <c r="H656" i="1" s="1"/>
  <c r="F657" i="1"/>
  <c r="K655" i="1"/>
  <c r="J655" i="1"/>
  <c r="I655" i="1"/>
  <c r="M655" i="1" l="1"/>
  <c r="L655" i="1"/>
  <c r="G657" i="1"/>
  <c r="H657" i="1" s="1"/>
  <c r="F658" i="1"/>
  <c r="K656" i="1"/>
  <c r="J656" i="1"/>
  <c r="I656" i="1"/>
  <c r="M656" i="1" l="1"/>
  <c r="L656" i="1"/>
  <c r="G658" i="1"/>
  <c r="H658" i="1" s="1"/>
  <c r="F659" i="1"/>
  <c r="K657" i="1"/>
  <c r="J657" i="1"/>
  <c r="I657" i="1"/>
  <c r="M657" i="1" l="1"/>
  <c r="L657" i="1"/>
  <c r="G659" i="1"/>
  <c r="H659" i="1" s="1"/>
  <c r="F660" i="1"/>
  <c r="I658" i="1"/>
  <c r="J658" i="1"/>
  <c r="K658" i="1"/>
  <c r="M658" i="1" l="1"/>
  <c r="L658" i="1"/>
  <c r="G660" i="1"/>
  <c r="H660" i="1" s="1"/>
  <c r="F661" i="1"/>
  <c r="I659" i="1"/>
  <c r="K659" i="1"/>
  <c r="J659" i="1"/>
  <c r="M659" i="1" l="1"/>
  <c r="L659" i="1"/>
  <c r="G661" i="1"/>
  <c r="H661" i="1" s="1"/>
  <c r="F662" i="1"/>
  <c r="I660" i="1"/>
  <c r="J660" i="1"/>
  <c r="K660" i="1"/>
  <c r="M660" i="1" l="1"/>
  <c r="L660" i="1"/>
  <c r="G662" i="1"/>
  <c r="H662" i="1" s="1"/>
  <c r="F663" i="1"/>
  <c r="K661" i="1"/>
  <c r="J661" i="1"/>
  <c r="I661" i="1"/>
  <c r="M661" i="1" l="1"/>
  <c r="L661" i="1"/>
  <c r="G663" i="1"/>
  <c r="H663" i="1" s="1"/>
  <c r="F664" i="1"/>
  <c r="K662" i="1"/>
  <c r="J662" i="1"/>
  <c r="I662" i="1"/>
  <c r="M662" i="1" l="1"/>
  <c r="L662" i="1"/>
  <c r="G664" i="1"/>
  <c r="H664" i="1" s="1"/>
  <c r="F665" i="1"/>
  <c r="K663" i="1"/>
  <c r="J663" i="1"/>
  <c r="I663" i="1"/>
  <c r="M663" i="1" l="1"/>
  <c r="L663" i="1"/>
  <c r="G665" i="1"/>
  <c r="H665" i="1" s="1"/>
  <c r="F666" i="1"/>
  <c r="J664" i="1"/>
  <c r="I664" i="1"/>
  <c r="K664" i="1"/>
  <c r="M664" i="1" l="1"/>
  <c r="L664" i="1"/>
  <c r="G666" i="1"/>
  <c r="H666" i="1" s="1"/>
  <c r="F667" i="1"/>
  <c r="I665" i="1"/>
  <c r="K665" i="1"/>
  <c r="J665" i="1"/>
  <c r="M665" i="1" l="1"/>
  <c r="L665" i="1"/>
  <c r="G667" i="1"/>
  <c r="H667" i="1" s="1"/>
  <c r="F668" i="1"/>
  <c r="I666" i="1"/>
  <c r="K666" i="1"/>
  <c r="J666" i="1"/>
  <c r="M666" i="1" l="1"/>
  <c r="L666" i="1"/>
  <c r="G668" i="1"/>
  <c r="H668" i="1" s="1"/>
  <c r="F669" i="1"/>
  <c r="K667" i="1"/>
  <c r="J667" i="1"/>
  <c r="I667" i="1"/>
  <c r="M667" i="1" l="1"/>
  <c r="L667" i="1"/>
  <c r="G669" i="1"/>
  <c r="H669" i="1" s="1"/>
  <c r="F670" i="1"/>
  <c r="K668" i="1"/>
  <c r="J668" i="1"/>
  <c r="I668" i="1"/>
  <c r="G670" i="1" l="1"/>
  <c r="H670" i="1" s="1"/>
  <c r="F671" i="1"/>
  <c r="K669" i="1"/>
  <c r="J669" i="1"/>
  <c r="I669" i="1"/>
  <c r="M668" i="1"/>
  <c r="L668" i="1"/>
  <c r="L669" i="1" l="1"/>
  <c r="M669" i="1"/>
  <c r="G671" i="1"/>
  <c r="H671" i="1" s="1"/>
  <c r="F672" i="1"/>
  <c r="I670" i="1"/>
  <c r="K670" i="1"/>
  <c r="J670" i="1"/>
  <c r="M670" i="1" l="1"/>
  <c r="L670" i="1"/>
  <c r="G672" i="1"/>
  <c r="H672" i="1" s="1"/>
  <c r="F673" i="1"/>
  <c r="J671" i="1"/>
  <c r="I671" i="1"/>
  <c r="K671" i="1"/>
  <c r="G673" i="1" l="1"/>
  <c r="H673" i="1" s="1"/>
  <c r="F674" i="1"/>
  <c r="I672" i="1"/>
  <c r="J672" i="1"/>
  <c r="K672" i="1"/>
  <c r="M671" i="1"/>
  <c r="L671" i="1"/>
  <c r="M672" i="1" l="1"/>
  <c r="L672" i="1"/>
  <c r="G674" i="1"/>
  <c r="H674" i="1" s="1"/>
  <c r="F675" i="1"/>
  <c r="K673" i="1"/>
  <c r="J673" i="1"/>
  <c r="I673" i="1"/>
  <c r="M673" i="1" l="1"/>
  <c r="L673" i="1"/>
  <c r="G675" i="1"/>
  <c r="H675" i="1" s="1"/>
  <c r="F676" i="1"/>
  <c r="K674" i="1"/>
  <c r="I674" i="1"/>
  <c r="J674" i="1"/>
  <c r="G676" i="1" l="1"/>
  <c r="H676" i="1" s="1"/>
  <c r="F677" i="1"/>
  <c r="M674" i="1"/>
  <c r="L674" i="1"/>
  <c r="K675" i="1"/>
  <c r="J675" i="1"/>
  <c r="I675" i="1"/>
  <c r="L675" i="1" l="1"/>
  <c r="M675" i="1"/>
  <c r="G677" i="1"/>
  <c r="H677" i="1" s="1"/>
  <c r="F678" i="1"/>
  <c r="J676" i="1"/>
  <c r="I676" i="1"/>
  <c r="K676" i="1"/>
  <c r="M676" i="1" l="1"/>
  <c r="L676" i="1"/>
  <c r="G678" i="1"/>
  <c r="H678" i="1" s="1"/>
  <c r="F679" i="1"/>
  <c r="I677" i="1"/>
  <c r="K677" i="1"/>
  <c r="J677" i="1"/>
  <c r="M677" i="1" l="1"/>
  <c r="L677" i="1"/>
  <c r="G679" i="1"/>
  <c r="H679" i="1" s="1"/>
  <c r="F680" i="1"/>
  <c r="I678" i="1"/>
  <c r="J678" i="1"/>
  <c r="K678" i="1"/>
  <c r="M678" i="1" l="1"/>
  <c r="L678" i="1"/>
  <c r="G680" i="1"/>
  <c r="H680" i="1" s="1"/>
  <c r="F681" i="1"/>
  <c r="K679" i="1"/>
  <c r="J679" i="1"/>
  <c r="I679" i="1"/>
  <c r="M679" i="1" l="1"/>
  <c r="L679" i="1"/>
  <c r="G681" i="1"/>
  <c r="H681" i="1" s="1"/>
  <c r="F682" i="1"/>
  <c r="K680" i="1"/>
  <c r="J680" i="1"/>
  <c r="I680" i="1"/>
  <c r="M680" i="1" l="1"/>
  <c r="L680" i="1"/>
  <c r="G682" i="1"/>
  <c r="H682" i="1" s="1"/>
  <c r="F683" i="1"/>
  <c r="K681" i="1"/>
  <c r="I681" i="1"/>
  <c r="J681" i="1"/>
  <c r="M681" i="1" l="1"/>
  <c r="L681" i="1"/>
  <c r="G683" i="1"/>
  <c r="H683" i="1" s="1"/>
  <c r="F684" i="1"/>
  <c r="J682" i="1"/>
  <c r="I682" i="1"/>
  <c r="K682" i="1"/>
  <c r="M682" i="1" l="1"/>
  <c r="L682" i="1"/>
  <c r="G684" i="1"/>
  <c r="H684" i="1" s="1"/>
  <c r="F685" i="1"/>
  <c r="J683" i="1"/>
  <c r="I683" i="1"/>
  <c r="K683" i="1"/>
  <c r="M683" i="1" l="1"/>
  <c r="L683" i="1"/>
  <c r="I684" i="1"/>
  <c r="K684" i="1"/>
  <c r="J684" i="1"/>
  <c r="G685" i="1"/>
  <c r="H685" i="1" s="1"/>
  <c r="F686" i="1"/>
  <c r="G686" i="1" l="1"/>
  <c r="H686" i="1" s="1"/>
  <c r="F687" i="1"/>
  <c r="K685" i="1"/>
  <c r="J685" i="1"/>
  <c r="I685" i="1"/>
  <c r="M684" i="1"/>
  <c r="L684" i="1"/>
  <c r="M685" i="1" l="1"/>
  <c r="L685" i="1"/>
  <c r="G687" i="1"/>
  <c r="H687" i="1" s="1"/>
  <c r="F688" i="1"/>
  <c r="K686" i="1"/>
  <c r="J686" i="1"/>
  <c r="I686" i="1"/>
  <c r="M686" i="1" l="1"/>
  <c r="L686" i="1"/>
  <c r="G688" i="1"/>
  <c r="H688" i="1" s="1"/>
  <c r="F689" i="1"/>
  <c r="K687" i="1"/>
  <c r="J687" i="1"/>
  <c r="I687" i="1"/>
  <c r="L687" i="1" l="1"/>
  <c r="M687" i="1"/>
  <c r="G689" i="1"/>
  <c r="H689" i="1" s="1"/>
  <c r="F690" i="1"/>
  <c r="I688" i="1"/>
  <c r="K688" i="1"/>
  <c r="J688" i="1"/>
  <c r="G690" i="1" l="1"/>
  <c r="H690" i="1" s="1"/>
  <c r="F691" i="1"/>
  <c r="M688" i="1"/>
  <c r="L688" i="1"/>
  <c r="J689" i="1"/>
  <c r="I689" i="1"/>
  <c r="K689" i="1"/>
  <c r="M689" i="1" l="1"/>
  <c r="L689" i="1"/>
  <c r="G691" i="1"/>
  <c r="H691" i="1" s="1"/>
  <c r="F692" i="1"/>
  <c r="I690" i="1"/>
  <c r="J690" i="1"/>
  <c r="K690" i="1"/>
  <c r="M690" i="1" l="1"/>
  <c r="L690" i="1"/>
  <c r="G692" i="1"/>
  <c r="H692" i="1" s="1"/>
  <c r="F693" i="1"/>
  <c r="K691" i="1"/>
  <c r="J691" i="1"/>
  <c r="I691" i="1"/>
  <c r="M691" i="1" l="1"/>
  <c r="L691" i="1"/>
  <c r="G693" i="1"/>
  <c r="H693" i="1" s="1"/>
  <c r="F694" i="1"/>
  <c r="K692" i="1"/>
  <c r="I692" i="1"/>
  <c r="J692" i="1"/>
  <c r="G694" i="1" l="1"/>
  <c r="H694" i="1" s="1"/>
  <c r="F695" i="1"/>
  <c r="M692" i="1"/>
  <c r="L692" i="1"/>
  <c r="K693" i="1"/>
  <c r="J693" i="1"/>
  <c r="I693" i="1"/>
  <c r="L693" i="1" l="1"/>
  <c r="M693" i="1"/>
  <c r="G695" i="1"/>
  <c r="H695" i="1" s="1"/>
  <c r="F696" i="1"/>
  <c r="J694" i="1"/>
  <c r="I694" i="1"/>
  <c r="K694" i="1"/>
  <c r="M694" i="1" l="1"/>
  <c r="L694" i="1"/>
  <c r="G696" i="1"/>
  <c r="H696" i="1" s="1"/>
  <c r="F697" i="1"/>
  <c r="I695" i="1"/>
  <c r="K695" i="1"/>
  <c r="J695" i="1"/>
  <c r="M695" i="1" l="1"/>
  <c r="L695" i="1"/>
  <c r="G697" i="1"/>
  <c r="H697" i="1" s="1"/>
  <c r="F698" i="1"/>
  <c r="I696" i="1"/>
  <c r="J696" i="1"/>
  <c r="K696" i="1"/>
  <c r="M696" i="1" l="1"/>
  <c r="L696" i="1"/>
  <c r="K697" i="1"/>
  <c r="J697" i="1"/>
  <c r="I697" i="1"/>
  <c r="G698" i="1"/>
  <c r="H698" i="1" s="1"/>
  <c r="F699" i="1"/>
  <c r="G699" i="1" l="1"/>
  <c r="H699" i="1" s="1"/>
  <c r="F700" i="1"/>
  <c r="K698" i="1"/>
  <c r="J698" i="1"/>
  <c r="I698" i="1"/>
  <c r="M697" i="1"/>
  <c r="L697" i="1"/>
  <c r="M698" i="1" l="1"/>
  <c r="L698" i="1"/>
  <c r="G700" i="1"/>
  <c r="H700" i="1" s="1"/>
  <c r="F701" i="1"/>
  <c r="K699" i="1"/>
  <c r="J699" i="1"/>
  <c r="I699" i="1"/>
  <c r="M699" i="1" l="1"/>
  <c r="L699" i="1"/>
  <c r="G701" i="1"/>
  <c r="H701" i="1" s="1"/>
  <c r="F702" i="1"/>
  <c r="J700" i="1"/>
  <c r="I700" i="1"/>
  <c r="K700" i="1"/>
  <c r="M700" i="1" l="1"/>
  <c r="L700" i="1"/>
  <c r="G702" i="1"/>
  <c r="H702" i="1" s="1"/>
  <c r="F703" i="1"/>
  <c r="J701" i="1"/>
  <c r="I701" i="1"/>
  <c r="K701" i="1"/>
  <c r="M701" i="1" l="1"/>
  <c r="L701" i="1"/>
  <c r="G703" i="1"/>
  <c r="H703" i="1" s="1"/>
  <c r="F704" i="1"/>
  <c r="I702" i="1"/>
  <c r="J702" i="1"/>
  <c r="K702" i="1"/>
  <c r="M702" i="1" l="1"/>
  <c r="L702" i="1"/>
  <c r="G704" i="1"/>
  <c r="H704" i="1" s="1"/>
  <c r="F705" i="1"/>
  <c r="K703" i="1"/>
  <c r="J703" i="1"/>
  <c r="I703" i="1"/>
  <c r="M703" i="1" l="1"/>
  <c r="L703" i="1"/>
  <c r="G705" i="1"/>
  <c r="H705" i="1" s="1"/>
  <c r="F706" i="1"/>
  <c r="K704" i="1"/>
  <c r="J704" i="1"/>
  <c r="I704" i="1"/>
  <c r="M704" i="1" l="1"/>
  <c r="L704" i="1"/>
  <c r="G706" i="1"/>
  <c r="H706" i="1" s="1"/>
  <c r="F707" i="1"/>
  <c r="K705" i="1"/>
  <c r="J705" i="1"/>
  <c r="I705" i="1"/>
  <c r="L705" i="1" l="1"/>
  <c r="M705" i="1"/>
  <c r="G707" i="1"/>
  <c r="H707" i="1" s="1"/>
  <c r="F708" i="1"/>
  <c r="I706" i="1"/>
  <c r="K706" i="1"/>
  <c r="J706" i="1"/>
  <c r="M706" i="1" l="1"/>
  <c r="L706" i="1"/>
  <c r="G708" i="1"/>
  <c r="H708" i="1" s="1"/>
  <c r="F709" i="1"/>
  <c r="J707" i="1"/>
  <c r="I707" i="1"/>
  <c r="K707" i="1"/>
  <c r="M707" i="1" l="1"/>
  <c r="L707" i="1"/>
  <c r="G709" i="1"/>
  <c r="H709" i="1" s="1"/>
  <c r="F710" i="1"/>
  <c r="I708" i="1"/>
  <c r="J708" i="1"/>
  <c r="K708" i="1"/>
  <c r="G710" i="1" l="1"/>
  <c r="H710" i="1" s="1"/>
  <c r="F711" i="1"/>
  <c r="M708" i="1"/>
  <c r="L708" i="1"/>
  <c r="K709" i="1"/>
  <c r="J709" i="1"/>
  <c r="I709" i="1"/>
  <c r="M709" i="1" l="1"/>
  <c r="L709" i="1"/>
  <c r="G711" i="1"/>
  <c r="H711" i="1" s="1"/>
  <c r="F712" i="1"/>
  <c r="K710" i="1"/>
  <c r="J710" i="1"/>
  <c r="I710" i="1"/>
  <c r="M710" i="1" l="1"/>
  <c r="L710" i="1"/>
  <c r="K711" i="1"/>
  <c r="J711" i="1"/>
  <c r="I711" i="1"/>
  <c r="G712" i="1"/>
  <c r="H712" i="1" s="1"/>
  <c r="F713" i="1"/>
  <c r="G713" i="1" l="1"/>
  <c r="H713" i="1" s="1"/>
  <c r="F714" i="1"/>
  <c r="J712" i="1"/>
  <c r="I712" i="1"/>
  <c r="K712" i="1"/>
  <c r="L711" i="1"/>
  <c r="M711" i="1"/>
  <c r="M712" i="1" l="1"/>
  <c r="L712" i="1"/>
  <c r="G714" i="1"/>
  <c r="H714" i="1" s="1"/>
  <c r="F715" i="1"/>
  <c r="I713" i="1"/>
  <c r="J713" i="1"/>
  <c r="K713" i="1"/>
  <c r="M713" i="1" l="1"/>
  <c r="L713" i="1"/>
  <c r="I714" i="1"/>
  <c r="J714" i="1"/>
  <c r="K714" i="1"/>
  <c r="G715" i="1"/>
  <c r="H715" i="1" s="1"/>
  <c r="F716" i="1"/>
  <c r="G716" i="1" l="1"/>
  <c r="H716" i="1" s="1"/>
  <c r="F717" i="1"/>
  <c r="K715" i="1"/>
  <c r="J715" i="1"/>
  <c r="I715" i="1"/>
  <c r="M714" i="1"/>
  <c r="L714" i="1"/>
  <c r="M715" i="1" l="1"/>
  <c r="L715" i="1"/>
  <c r="G717" i="1"/>
  <c r="H717" i="1" s="1"/>
  <c r="F718" i="1"/>
  <c r="K716" i="1"/>
  <c r="I716" i="1"/>
  <c r="J716" i="1"/>
  <c r="M716" i="1" l="1"/>
  <c r="L716" i="1"/>
  <c r="G718" i="1"/>
  <c r="H718" i="1" s="1"/>
  <c r="F719" i="1"/>
  <c r="K717" i="1"/>
  <c r="J717" i="1"/>
  <c r="I717" i="1"/>
  <c r="M717" i="1" l="1"/>
  <c r="L717" i="1"/>
  <c r="J718" i="1"/>
  <c r="I718" i="1"/>
  <c r="K718" i="1"/>
  <c r="G719" i="1"/>
  <c r="H719" i="1" s="1"/>
  <c r="F720" i="1"/>
  <c r="G720" i="1" l="1"/>
  <c r="H720" i="1" s="1"/>
  <c r="F721" i="1"/>
  <c r="K719" i="1"/>
  <c r="J719" i="1"/>
  <c r="I719" i="1"/>
  <c r="M718" i="1"/>
  <c r="L718" i="1"/>
  <c r="M719" i="1" l="1"/>
  <c r="L719" i="1"/>
  <c r="G721" i="1"/>
  <c r="H721" i="1" s="1"/>
  <c r="F722" i="1"/>
  <c r="I720" i="1"/>
  <c r="K720" i="1"/>
  <c r="J720" i="1"/>
  <c r="M720" i="1" l="1"/>
  <c r="L720" i="1"/>
  <c r="G722" i="1"/>
  <c r="H722" i="1" s="1"/>
  <c r="F723" i="1"/>
  <c r="K721" i="1"/>
  <c r="J721" i="1"/>
  <c r="I721" i="1"/>
  <c r="M721" i="1" l="1"/>
  <c r="L721" i="1"/>
  <c r="G723" i="1"/>
  <c r="H723" i="1" s="1"/>
  <c r="F724" i="1"/>
  <c r="K722" i="1"/>
  <c r="J722" i="1"/>
  <c r="I722" i="1"/>
  <c r="M722" i="1" l="1"/>
  <c r="L722" i="1"/>
  <c r="G724" i="1"/>
  <c r="H724" i="1" s="1"/>
  <c r="F725" i="1"/>
  <c r="K723" i="1"/>
  <c r="I723" i="1"/>
  <c r="J723" i="1"/>
  <c r="M723" i="1" l="1"/>
  <c r="L723" i="1"/>
  <c r="G725" i="1"/>
  <c r="H725" i="1" s="1"/>
  <c r="F726" i="1"/>
  <c r="I724" i="1"/>
  <c r="K724" i="1"/>
  <c r="J724" i="1"/>
  <c r="M724" i="1" l="1"/>
  <c r="L724" i="1"/>
  <c r="G726" i="1"/>
  <c r="H726" i="1" s="1"/>
  <c r="F727" i="1"/>
  <c r="J725" i="1"/>
  <c r="I725" i="1"/>
  <c r="K725" i="1"/>
  <c r="M725" i="1" l="1"/>
  <c r="L725" i="1"/>
  <c r="G727" i="1"/>
  <c r="H727" i="1" s="1"/>
  <c r="F728" i="1"/>
  <c r="I726" i="1"/>
  <c r="K726" i="1"/>
  <c r="J726" i="1"/>
  <c r="M726" i="1" l="1"/>
  <c r="L726" i="1"/>
  <c r="G728" i="1"/>
  <c r="H728" i="1" s="1"/>
  <c r="F729" i="1"/>
  <c r="K727" i="1"/>
  <c r="J727" i="1"/>
  <c r="I727" i="1"/>
  <c r="M727" i="1" l="1"/>
  <c r="L727" i="1"/>
  <c r="G729" i="1"/>
  <c r="H729" i="1" s="1"/>
  <c r="F730" i="1"/>
  <c r="K728" i="1"/>
  <c r="I728" i="1"/>
  <c r="J728" i="1"/>
  <c r="M728" i="1" l="1"/>
  <c r="L728" i="1"/>
  <c r="G730" i="1"/>
  <c r="H730" i="1" s="1"/>
  <c r="F731" i="1"/>
  <c r="K729" i="1"/>
  <c r="J729" i="1"/>
  <c r="I729" i="1"/>
  <c r="L729" i="1" l="1"/>
  <c r="M729" i="1"/>
  <c r="G731" i="1"/>
  <c r="H731" i="1" s="1"/>
  <c r="F732" i="1"/>
  <c r="K730" i="1"/>
  <c r="J730" i="1"/>
  <c r="I730" i="1"/>
  <c r="I731" i="1" l="1"/>
  <c r="K731" i="1"/>
  <c r="J731" i="1"/>
  <c r="M730" i="1"/>
  <c r="L730" i="1"/>
  <c r="G732" i="1"/>
  <c r="H732" i="1" s="1"/>
  <c r="F733" i="1"/>
  <c r="G733" i="1" l="1"/>
  <c r="H733" i="1" s="1"/>
  <c r="F734" i="1"/>
  <c r="I732" i="1"/>
  <c r="J732" i="1"/>
  <c r="K732" i="1"/>
  <c r="M731" i="1"/>
  <c r="L731" i="1"/>
  <c r="M732" i="1" l="1"/>
  <c r="L732" i="1"/>
  <c r="G734" i="1"/>
  <c r="H734" i="1" s="1"/>
  <c r="F735" i="1"/>
  <c r="K733" i="1"/>
  <c r="J733" i="1"/>
  <c r="I733" i="1"/>
  <c r="M733" i="1" l="1"/>
  <c r="L733" i="1"/>
  <c r="G735" i="1"/>
  <c r="H735" i="1" s="1"/>
  <c r="F736" i="1"/>
  <c r="G736" i="1" s="1"/>
  <c r="K734" i="1"/>
  <c r="J734" i="1"/>
  <c r="I734" i="1"/>
  <c r="M734" i="1" l="1"/>
  <c r="L734" i="1"/>
  <c r="H736" i="1"/>
  <c r="K735" i="1"/>
  <c r="J735" i="1"/>
  <c r="I735" i="1"/>
  <c r="M735" i="1" l="1"/>
  <c r="L735" i="1"/>
  <c r="J736" i="1"/>
  <c r="I736" i="1"/>
  <c r="K736" i="1"/>
  <c r="M736" i="1" l="1"/>
  <c r="L736" i="1"/>
</calcChain>
</file>

<file path=xl/sharedStrings.xml><?xml version="1.0" encoding="utf-8"?>
<sst xmlns="http://schemas.openxmlformats.org/spreadsheetml/2006/main" count="19" uniqueCount="19">
  <si>
    <t>date_text</t>
  </si>
  <si>
    <t>date_num</t>
  </si>
  <si>
    <t>day</t>
  </si>
  <si>
    <t>A-03-1 circumference growth (mm)</t>
  </si>
  <si>
    <t>radial growth/reading (cm)</t>
  </si>
  <si>
    <t>cumulative radial growth (cm)</t>
  </si>
  <si>
    <t>Total Basal Area (cm^2)</t>
  </si>
  <si>
    <t>change in BA (cm^2)</t>
  </si>
  <si>
    <t>BAI=ΔBA/BA standardized</t>
  </si>
  <si>
    <t>cumulative BAI</t>
  </si>
  <si>
    <t>annual BAI</t>
  </si>
  <si>
    <t>cumulative BAI/BA</t>
  </si>
  <si>
    <t>annual BAI/BA</t>
  </si>
  <si>
    <t>diameter (cm) at banding</t>
  </si>
  <si>
    <t>radius (cm) at banding</t>
  </si>
  <si>
    <t>basal area cm^2</t>
  </si>
  <si>
    <t>Calculated DBH from final BA</t>
  </si>
  <si>
    <t>2009 measured DBH</t>
  </si>
  <si>
    <t>A-03-1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</si>
</sst>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m/d/yy;@"/>
  </numFmts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5">
    <xf numFmtId="0" fontId="0" fillId="0" borderId="0" xfId="0"/>
    <xf numFmtId="0" fontId="1" fillId="0" borderId="0" xfId="0" quotePrefix="1" applyFont="1"/>
    <xf numFmtId="0" fontId="1" fillId="0" borderId="0" xfId="0" quotePrefix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quotePrefix="1"/>
    <xf numFmtId="0" fontId="0" fillId="2" borderId="0" xfId="0" applyFill="1"/>
    <xf numFmtId="0" fontId="1" fillId="0" borderId="0" xfId="0" applyFont="1" applyAlignment="1">
      <alignment horizontal="center" wrapText="1"/>
    </xf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/>
    <xf numFmtId="0" fontId="0" fillId="3" borderId="0" xfId="0" quotePrefix="1" applyFill="1"/>
    <xf numFmtId="165" fontId="0" fillId="4" borderId="0" xfId="0" applyNumberFormat="1" applyFill="1"/>
    <xf numFmtId="2" fontId="0" fillId="2" borderId="0" xfId="0" applyNumberFormat="1" applyFill="1"/>
    <xf numFmtId="166" fontId="0" fillId="0" borderId="0" xfId="0" applyNumberFormat="1"/>
    <xf numFmtId="165" fontId="0" fillId="0" borderId="0" xfId="0" applyNumberFormat="1"/>
    <xf numFmtId="165" fontId="2" fillId="5" borderId="0" xfId="0" applyNumberFormat="1" applyFont="1" applyFill="1"/>
    <xf numFmtId="0" fontId="1" fillId="0" borderId="0" xfId="0" applyFont="1" applyAlignment="1">
      <alignment horizontal="center"/>
    </xf>
    <xf numFmtId="14" fontId="3" fillId="6" borderId="0" xfId="0" applyNumberFormat="1" applyFont="1" applyFill="1"/>
    <xf numFmtId="0" fontId="3" fillId="6" borderId="0" xfId="0" quotePrefix="1" applyFont="1" applyFill="1" applyAlignment="1">
      <alignment horizontal="right"/>
    </xf>
    <xf numFmtId="0" fontId="3" fillId="6" borderId="0" xfId="0" applyFont="1" applyFill="1"/>
    <xf numFmtId="0" fontId="3" fillId="6" borderId="0" xfId="0" quotePrefix="1" applyFont="1" applyFill="1"/>
    <xf numFmtId="165" fontId="3" fillId="6" borderId="0" xfId="0" applyNumberFormat="1" applyFont="1" applyFill="1"/>
    <xf numFmtId="2" fontId="3" fillId="2" borderId="0" xfId="0" applyNumberFormat="1" applyFont="1" applyFill="1"/>
    <xf numFmtId="2" fontId="3" fillId="6" borderId="0" xfId="0" applyNumberFormat="1" applyFont="1" applyFill="1"/>
    <xf numFmtId="166" fontId="3" fillId="6" borderId="0" xfId="0" applyNumberFormat="1" applyFont="1" applyFill="1"/>
    <xf numFmtId="14" fontId="0" fillId="2" borderId="0" xfId="0" applyNumberFormat="1" applyFill="1"/>
    <xf numFmtId="0" fontId="0" fillId="2" borderId="0" xfId="0" quotePrefix="1" applyFill="1" applyAlignment="1">
      <alignment horizontal="right"/>
    </xf>
    <xf numFmtId="0" fontId="0" fillId="2" borderId="0" xfId="0" quotePrefix="1" applyFill="1"/>
    <xf numFmtId="165" fontId="0" fillId="2" borderId="0" xfId="0" applyNumberFormat="1" applyFill="1"/>
    <xf numFmtId="166" fontId="0" fillId="2" borderId="0" xfId="0" applyNumberFormat="1" applyFill="1"/>
    <xf numFmtId="49" fontId="0" fillId="0" borderId="0" xfId="0" applyNumberFormat="1" applyAlignment="1">
      <alignment horizontal="right"/>
    </xf>
    <xf numFmtId="14" fontId="0" fillId="0" borderId="0" xfId="0" applyNumberFormat="1" applyAlignment="1">
      <alignment vertical="center"/>
    </xf>
    <xf numFmtId="14" fontId="4" fillId="0" borderId="1" xfId="1" applyNumberFormat="1" applyBorder="1" applyAlignment="1">
      <alignment horizontal="right" wrapText="1"/>
    </xf>
    <xf numFmtId="0" fontId="4" fillId="0" borderId="1" xfId="1" applyBorder="1" applyAlignment="1">
      <alignment horizontal="right" wrapText="1"/>
    </xf>
    <xf numFmtId="0" fontId="3" fillId="0" borderId="0" xfId="0" applyFont="1"/>
    <xf numFmtId="167" fontId="5" fillId="0" borderId="1" xfId="2" applyNumberFormat="1" applyFont="1" applyBorder="1" applyAlignment="1">
      <alignment horizontal="right" wrapText="1"/>
    </xf>
    <xf numFmtId="0" fontId="0" fillId="0" borderId="0" xfId="0" applyAlignment="1">
      <alignment horizontal="right"/>
    </xf>
    <xf numFmtId="14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</cellXfs>
  <cellStyles count="3">
    <cellStyle name="Normal" xfId="0" builtinId="0"/>
    <cellStyle name="Normal_Sheet1" xfId="2" xr:uid="{6FE319C0-1B92-4C28-9374-39D1AA866CD4}"/>
    <cellStyle name="Normal_siteA_masterlist" xfId="1" xr:uid="{E439DDA5-86D4-44DF-B30C-158FC6E02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uracollins\AppData\Roaming\Microsoft\Excel\BA_calculations_by_tree_copy%20(version%201).xlsb" TargetMode="External"/><Relationship Id="rId1" Type="http://schemas.openxmlformats.org/officeDocument/2006/relationships/externalLinkPath" Target="file:///C:\Users\mauracollins\AppData\Roaming\Microsoft\Excel\BA_calculations_by_tree_copy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tial BA calcs"/>
      <sheetName val="site A (mm)"/>
      <sheetName val="site B (mm)"/>
      <sheetName val="site C (mm)"/>
      <sheetName val="A cum BAI"/>
      <sheetName val="B cum BAI"/>
      <sheetName val="C Cum BAI"/>
      <sheetName val="DBH"/>
      <sheetName val="A-03-1"/>
      <sheetName val="A-03-3"/>
      <sheetName val="A-03-4"/>
      <sheetName val="A-03-6"/>
      <sheetName val="A-03-7"/>
      <sheetName val="A-03-8"/>
      <sheetName val="A-03-10"/>
      <sheetName val="A-H1"/>
      <sheetName val="A-BY2"/>
      <sheetName val="A-E3"/>
      <sheetName val="A-E2"/>
      <sheetName val="A-E1"/>
      <sheetName val="A-E5"/>
      <sheetName val="A-BY3"/>
      <sheetName val="A-BY4"/>
      <sheetName val="A-BY5"/>
      <sheetName val="A-E6"/>
      <sheetName val="A-E7"/>
      <sheetName val="B1"/>
      <sheetName val="B2"/>
      <sheetName val="B3"/>
      <sheetName val="B4"/>
      <sheetName val="B5"/>
      <sheetName val="B6"/>
      <sheetName val="B8"/>
      <sheetName val="B9"/>
      <sheetName val="B11"/>
      <sheetName val="B12"/>
      <sheetName val="B13"/>
      <sheetName val="B14"/>
      <sheetName val="B15"/>
      <sheetName val="B16"/>
      <sheetName val="B17"/>
      <sheetName val="B18"/>
      <sheetName val="B19"/>
      <sheetName val="B20"/>
      <sheetName val="B21"/>
      <sheetName val="B22"/>
      <sheetName val="B23"/>
      <sheetName val="B24"/>
      <sheetName val="B25"/>
      <sheetName val="B26"/>
      <sheetName val="B27"/>
      <sheetName val="D1"/>
      <sheetName val="D2"/>
      <sheetName val="D3"/>
      <sheetName val="D4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C1"/>
      <sheetName val="C2"/>
      <sheetName val="C3"/>
      <sheetName val="C4"/>
      <sheetName val="C6"/>
      <sheetName val="C7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P1"/>
      <sheetName val="P2"/>
      <sheetName val="P3"/>
      <sheetName val="P4"/>
      <sheetName val="P5"/>
      <sheetName val="P6"/>
      <sheetName val="P7"/>
      <sheetName val="P8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-03-2"/>
      <sheetName val="A-03-5"/>
      <sheetName val="A-03-9"/>
      <sheetName val="A-E4"/>
      <sheetName val="B7"/>
      <sheetName val="B10"/>
      <sheetName val="C5"/>
      <sheetName val="C8"/>
      <sheetName val="D5"/>
    </sheetNames>
    <sheetDataSet>
      <sheetData sheetId="0"/>
      <sheetData sheetId="1">
        <row r="719">
          <cell r="A719">
            <v>39973</v>
          </cell>
          <cell r="B719">
            <v>2009.4369999999999</v>
          </cell>
          <cell r="M719">
            <v>84.440000000000055</v>
          </cell>
        </row>
        <row r="720">
          <cell r="A720">
            <v>39981</v>
          </cell>
          <cell r="B720">
            <v>2009.4590000000001</v>
          </cell>
          <cell r="M720">
            <v>85.59000000000006</v>
          </cell>
        </row>
        <row r="721">
          <cell r="A721">
            <v>39987</v>
          </cell>
          <cell r="B721">
            <v>2009.4749999999999</v>
          </cell>
          <cell r="M721">
            <v>87.290000000000063</v>
          </cell>
        </row>
        <row r="722">
          <cell r="A722">
            <v>39994</v>
          </cell>
          <cell r="B722">
            <v>2009.4949999999999</v>
          </cell>
          <cell r="M722">
            <v>87.990000000000066</v>
          </cell>
        </row>
        <row r="723">
          <cell r="A723">
            <v>40001</v>
          </cell>
          <cell r="B723">
            <v>2009.5139999999999</v>
          </cell>
          <cell r="M723">
            <v>88.990000000000066</v>
          </cell>
        </row>
        <row r="724">
          <cell r="A724">
            <v>40008</v>
          </cell>
          <cell r="B724">
            <v>2009.5329999999999</v>
          </cell>
          <cell r="M724">
            <v>89.490000000000066</v>
          </cell>
        </row>
        <row r="725">
          <cell r="A725">
            <v>40015</v>
          </cell>
          <cell r="B725">
            <v>2009.5519999999999</v>
          </cell>
          <cell r="M725">
            <v>89.490000000000066</v>
          </cell>
        </row>
        <row r="726">
          <cell r="A726">
            <v>40023</v>
          </cell>
          <cell r="B726">
            <v>2009.5740000000001</v>
          </cell>
          <cell r="M726">
            <v>89.890000000000072</v>
          </cell>
        </row>
        <row r="727">
          <cell r="A727">
            <v>40029</v>
          </cell>
          <cell r="B727">
            <v>2009.59</v>
          </cell>
          <cell r="M727">
            <v>91.390000000000072</v>
          </cell>
        </row>
        <row r="728">
          <cell r="A728">
            <v>40036</v>
          </cell>
          <cell r="B728">
            <v>2009.6089999999999</v>
          </cell>
          <cell r="M728">
            <v>91.890000000000072</v>
          </cell>
        </row>
        <row r="729">
          <cell r="A729">
            <v>40043</v>
          </cell>
          <cell r="B729">
            <v>2009.6279999999999</v>
          </cell>
          <cell r="M729">
            <v>92.640000000000072</v>
          </cell>
        </row>
        <row r="730">
          <cell r="A730">
            <v>40050</v>
          </cell>
          <cell r="B730">
            <v>2009.6479999999999</v>
          </cell>
          <cell r="M730">
            <v>92.890000000000072</v>
          </cell>
        </row>
        <row r="731">
          <cell r="A731">
            <v>40057</v>
          </cell>
          <cell r="B731">
            <v>2009.6669999999999</v>
          </cell>
          <cell r="M731">
            <v>93.590000000000074</v>
          </cell>
        </row>
        <row r="732">
          <cell r="A732">
            <v>40064</v>
          </cell>
          <cell r="B732">
            <v>2009.6859999999999</v>
          </cell>
          <cell r="M732">
            <v>94.290000000000077</v>
          </cell>
        </row>
        <row r="733">
          <cell r="A733">
            <v>40071</v>
          </cell>
          <cell r="B733">
            <v>2009.7049999999999</v>
          </cell>
          <cell r="M733">
            <v>93.890000000000072</v>
          </cell>
        </row>
        <row r="734">
          <cell r="A734">
            <v>40078</v>
          </cell>
          <cell r="B734">
            <v>2009.7239999999999</v>
          </cell>
          <cell r="M734">
            <v>95.290000000000106</v>
          </cell>
        </row>
        <row r="735">
          <cell r="A735">
            <v>40085</v>
          </cell>
          <cell r="B735">
            <v>2009.7429999999999</v>
          </cell>
          <cell r="M735">
            <v>95.540000000000106</v>
          </cell>
        </row>
        <row r="736">
          <cell r="A736">
            <v>40092</v>
          </cell>
          <cell r="B736">
            <v>2009.7619999999999</v>
          </cell>
          <cell r="M736">
            <v>95.3900000000001</v>
          </cell>
        </row>
        <row r="737">
          <cell r="A737">
            <v>40099</v>
          </cell>
          <cell r="B737">
            <v>2009.7809999999999</v>
          </cell>
          <cell r="M737">
            <v>95.590000000000103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F677-55DB-49C7-BC3E-DF9381DE4ACB}">
  <dimension ref="A1:S736"/>
  <sheetViews>
    <sheetView tabSelected="1" workbookViewId="0">
      <selection activeCell="H12" sqref="H12"/>
    </sheetView>
  </sheetViews>
  <sheetFormatPr defaultRowHeight="15" x14ac:dyDescent="0.25"/>
  <cols>
    <col min="1" max="1" width="10.7109375" bestFit="1" customWidth="1"/>
    <col min="2" max="2" width="10" style="42" bestFit="1" customWidth="1"/>
    <col min="3" max="3" width="6.5703125" bestFit="1" customWidth="1"/>
    <col min="4" max="4" width="11.85546875" bestFit="1" customWidth="1"/>
    <col min="6" max="6" width="9.140625" style="11"/>
    <col min="8" max="8" width="7" bestFit="1" customWidth="1"/>
    <col min="14" max="14" width="6.42578125" bestFit="1" customWidth="1"/>
    <col min="15" max="15" width="8.140625" customWidth="1"/>
    <col min="16" max="16" width="7.42578125" bestFit="1" customWidth="1"/>
    <col min="17" max="17" width="6.5703125" bestFit="1" customWidth="1"/>
    <col min="18" max="18" width="8.42578125" bestFit="1" customWidth="1"/>
    <col min="19" max="19" width="8.85546875" bestFit="1" customWidth="1"/>
  </cols>
  <sheetData>
    <row r="1" spans="1:19" ht="7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O1" s="7" t="s">
        <v>13</v>
      </c>
      <c r="P1" s="7" t="s">
        <v>14</v>
      </c>
      <c r="Q1" s="7" t="s">
        <v>15</v>
      </c>
      <c r="R1" s="4" t="s">
        <v>16</v>
      </c>
      <c r="S1" s="4" t="s">
        <v>17</v>
      </c>
    </row>
    <row r="2" spans="1:19" x14ac:dyDescent="0.25">
      <c r="A2" s="8">
        <v>37636</v>
      </c>
      <c r="B2" s="9">
        <v>2003.038</v>
      </c>
      <c r="C2">
        <f t="shared" ref="C2:C65" si="0">A2-33239</f>
        <v>4397</v>
      </c>
      <c r="D2" s="10">
        <v>0</v>
      </c>
      <c r="F2" s="11">
        <v>10.1</v>
      </c>
      <c r="G2">
        <v>320.31139999999999</v>
      </c>
      <c r="N2" s="12" t="s">
        <v>18</v>
      </c>
      <c r="O2" s="13">
        <v>20.2</v>
      </c>
      <c r="P2" s="13">
        <f>O2/2</f>
        <v>10.1</v>
      </c>
      <c r="Q2" s="14">
        <f>(3.14*(O2/2)^2)</f>
        <v>320.31139999999999</v>
      </c>
      <c r="R2" s="15">
        <f>1.1284*(SQRT(G231))</f>
        <v>22.476681052044562</v>
      </c>
      <c r="S2" s="3">
        <v>21.5</v>
      </c>
    </row>
    <row r="3" spans="1:19" x14ac:dyDescent="0.25">
      <c r="A3" s="8">
        <v>37649</v>
      </c>
      <c r="B3" s="9">
        <v>2003.0740000000001</v>
      </c>
      <c r="C3">
        <f t="shared" si="0"/>
        <v>4410</v>
      </c>
      <c r="D3" s="16">
        <v>-0.62000000000000099</v>
      </c>
      <c r="E3" s="17">
        <f t="shared" ref="E3:E66" si="1">((D3-D2)/10)/(2*3.14159)</f>
        <v>-9.8676148065151882E-3</v>
      </c>
      <c r="F3" s="18">
        <f t="shared" ref="F3:F66" si="2">E3+F2</f>
        <v>10.090132385193485</v>
      </c>
      <c r="G3" s="14">
        <f t="shared" ref="G3:G66" si="3">3.14*(F3^2)</f>
        <v>319.68582266929337</v>
      </c>
      <c r="H3" s="14">
        <f>G3-G2</f>
        <v>-0.62557733070661925</v>
      </c>
      <c r="I3" s="19">
        <f t="shared" ref="I3:I66" si="4">H3/G3</f>
        <v>-1.9568504023206642E-3</v>
      </c>
      <c r="J3" s="14">
        <f>H3</f>
        <v>-0.62557733070661925</v>
      </c>
      <c r="K3" s="14">
        <f>H3</f>
        <v>-0.62557733070661925</v>
      </c>
      <c r="L3" s="14">
        <f>I3</f>
        <v>-1.9568504023206642E-3</v>
      </c>
      <c r="M3" s="20">
        <f>I3</f>
        <v>-1.9568504023206642E-3</v>
      </c>
      <c r="N3" s="12"/>
      <c r="O3" s="13"/>
      <c r="P3" s="13"/>
      <c r="Q3" s="14"/>
    </row>
    <row r="4" spans="1:19" x14ac:dyDescent="0.25">
      <c r="A4" s="8">
        <v>37670</v>
      </c>
      <c r="B4" s="9">
        <v>2003.1310000000001</v>
      </c>
      <c r="C4">
        <f t="shared" si="0"/>
        <v>4431</v>
      </c>
      <c r="D4" s="10">
        <v>-1.0900000000000001</v>
      </c>
      <c r="E4" s="21">
        <f t="shared" si="1"/>
        <v>-7.480288643648584E-3</v>
      </c>
      <c r="F4" s="18">
        <f t="shared" si="2"/>
        <v>10.082652096549836</v>
      </c>
      <c r="G4" s="14">
        <f t="shared" si="3"/>
        <v>319.21200216219097</v>
      </c>
      <c r="H4" s="14">
        <f t="shared" ref="H4:H67" si="5">G4-G3</f>
        <v>-0.47382050710240264</v>
      </c>
      <c r="I4" s="19">
        <f t="shared" si="4"/>
        <v>-1.484344272436396E-3</v>
      </c>
      <c r="J4" s="14">
        <f t="shared" ref="J4:J67" si="6">H4+J3</f>
        <v>-1.0993978378090219</v>
      </c>
      <c r="K4" s="14">
        <f t="shared" ref="K4:L19" si="7">H4+K3</f>
        <v>-1.0993978378090219</v>
      </c>
      <c r="L4" s="14">
        <f t="shared" si="7"/>
        <v>-3.44119467475706E-3</v>
      </c>
      <c r="M4" s="20">
        <f t="shared" ref="M4:M38" si="8">I4+M3</f>
        <v>-3.44119467475706E-3</v>
      </c>
      <c r="N4" s="12"/>
      <c r="O4" s="13"/>
      <c r="P4" s="13"/>
      <c r="Q4" s="14"/>
    </row>
    <row r="5" spans="1:19" x14ac:dyDescent="0.25">
      <c r="A5" s="8">
        <v>37691</v>
      </c>
      <c r="B5" s="9">
        <v>2003.1890000000001</v>
      </c>
      <c r="C5">
        <f t="shared" si="0"/>
        <v>4452</v>
      </c>
      <c r="D5" s="10">
        <v>-0.55000000000000071</v>
      </c>
      <c r="E5" s="17">
        <f t="shared" si="1"/>
        <v>8.594374186319656E-3</v>
      </c>
      <c r="F5" s="18">
        <f t="shared" si="2"/>
        <v>10.091246470736156</v>
      </c>
      <c r="G5" s="14">
        <f t="shared" si="3"/>
        <v>319.75642174607503</v>
      </c>
      <c r="H5" s="14">
        <f t="shared" si="5"/>
        <v>0.5444195838840642</v>
      </c>
      <c r="I5" s="19">
        <f t="shared" si="4"/>
        <v>1.7026071936606755E-3</v>
      </c>
      <c r="J5" s="14">
        <f t="shared" si="6"/>
        <v>-0.5549782539249577</v>
      </c>
      <c r="K5" s="14">
        <f t="shared" si="7"/>
        <v>-0.5549782539249577</v>
      </c>
      <c r="L5" s="14">
        <f t="shared" si="7"/>
        <v>-1.7385874810963845E-3</v>
      </c>
      <c r="M5" s="20">
        <f t="shared" si="8"/>
        <v>-1.7385874810963845E-3</v>
      </c>
      <c r="N5" s="12"/>
      <c r="O5" s="13"/>
      <c r="P5" s="13"/>
      <c r="Q5" s="14"/>
    </row>
    <row r="6" spans="1:19" x14ac:dyDescent="0.25">
      <c r="A6" s="8">
        <v>37712</v>
      </c>
      <c r="B6" s="9">
        <v>2003.2470000000001</v>
      </c>
      <c r="C6">
        <f t="shared" si="0"/>
        <v>4473</v>
      </c>
      <c r="D6" s="10">
        <v>-2.15</v>
      </c>
      <c r="E6" s="17">
        <f t="shared" si="1"/>
        <v>-2.546481240391011E-2</v>
      </c>
      <c r="F6" s="18">
        <f t="shared" si="2"/>
        <v>10.065781658332245</v>
      </c>
      <c r="G6" s="14">
        <f t="shared" si="3"/>
        <v>318.14467563470402</v>
      </c>
      <c r="H6" s="14">
        <f t="shared" si="5"/>
        <v>-1.6117461113710192</v>
      </c>
      <c r="I6" s="19">
        <f t="shared" si="4"/>
        <v>-5.0660791608583685E-3</v>
      </c>
      <c r="J6" s="14">
        <f t="shared" si="6"/>
        <v>-2.1667243652959769</v>
      </c>
      <c r="K6" s="14">
        <f t="shared" si="7"/>
        <v>-2.1667243652959769</v>
      </c>
      <c r="L6" s="14">
        <f t="shared" si="7"/>
        <v>-6.8046666419547533E-3</v>
      </c>
      <c r="M6" s="20">
        <f t="shared" si="8"/>
        <v>-6.8046666419547533E-3</v>
      </c>
      <c r="N6" s="12"/>
      <c r="O6" s="13"/>
      <c r="P6" s="13"/>
      <c r="Q6" s="14"/>
    </row>
    <row r="7" spans="1:19" x14ac:dyDescent="0.25">
      <c r="A7" s="8">
        <v>37719</v>
      </c>
      <c r="B7" s="9">
        <v>2003.2660000000001</v>
      </c>
      <c r="C7">
        <f t="shared" si="0"/>
        <v>4480</v>
      </c>
      <c r="D7" s="10">
        <v>-2.3199999999999998</v>
      </c>
      <c r="E7" s="17">
        <f t="shared" si="1"/>
        <v>-2.7056363179154496E-3</v>
      </c>
      <c r="F7" s="18">
        <f t="shared" si="2"/>
        <v>10.063076022014329</v>
      </c>
      <c r="G7" s="14">
        <f t="shared" si="3"/>
        <v>317.97366693799677</v>
      </c>
      <c r="H7" s="14">
        <f t="shared" si="5"/>
        <v>-0.17100869670724705</v>
      </c>
      <c r="I7" s="19">
        <f t="shared" si="4"/>
        <v>-5.3780773217485607E-4</v>
      </c>
      <c r="J7" s="14">
        <f t="shared" si="6"/>
        <v>-2.3377330620032239</v>
      </c>
      <c r="K7" s="14">
        <f t="shared" si="7"/>
        <v>-2.3377330620032239</v>
      </c>
      <c r="L7" s="14">
        <f t="shared" si="7"/>
        <v>-7.3424743741296091E-3</v>
      </c>
      <c r="M7" s="20">
        <f t="shared" si="8"/>
        <v>-7.3424743741296091E-3</v>
      </c>
      <c r="N7" s="12"/>
      <c r="O7" s="13"/>
      <c r="P7" s="13"/>
      <c r="Q7" s="14"/>
    </row>
    <row r="8" spans="1:19" x14ac:dyDescent="0.25">
      <c r="A8" s="8">
        <v>37727</v>
      </c>
      <c r="B8" s="9">
        <v>2003.288</v>
      </c>
      <c r="C8">
        <f t="shared" si="0"/>
        <v>4488</v>
      </c>
      <c r="D8" s="10">
        <v>-2.19</v>
      </c>
      <c r="E8" s="17">
        <f t="shared" si="1"/>
        <v>2.0690160078176956E-3</v>
      </c>
      <c r="F8" s="18">
        <f t="shared" si="2"/>
        <v>10.065145038022147</v>
      </c>
      <c r="G8" s="14">
        <f t="shared" si="3"/>
        <v>318.1044341583646</v>
      </c>
      <c r="H8" s="14">
        <f t="shared" si="5"/>
        <v>0.1307672203678294</v>
      </c>
      <c r="I8" s="19">
        <f t="shared" si="4"/>
        <v>4.1108267073928449E-4</v>
      </c>
      <c r="J8" s="14">
        <f t="shared" si="6"/>
        <v>-2.2069658416353946</v>
      </c>
      <c r="K8" s="14">
        <f t="shared" si="7"/>
        <v>-2.2069658416353946</v>
      </c>
      <c r="L8" s="14">
        <f t="shared" si="7"/>
        <v>-6.9313917033903246E-3</v>
      </c>
      <c r="M8" s="20">
        <f t="shared" si="8"/>
        <v>-6.9313917033903246E-3</v>
      </c>
      <c r="N8" s="12"/>
      <c r="O8" s="13"/>
      <c r="P8" s="13"/>
      <c r="Q8" s="14"/>
    </row>
    <row r="9" spans="1:19" x14ac:dyDescent="0.25">
      <c r="A9" s="8">
        <v>37735</v>
      </c>
      <c r="B9" s="9">
        <v>2003.31</v>
      </c>
      <c r="C9">
        <f t="shared" si="0"/>
        <v>4496</v>
      </c>
      <c r="D9" s="10">
        <v>-1.85</v>
      </c>
      <c r="E9" s="20">
        <f t="shared" si="1"/>
        <v>5.4112726358308992E-3</v>
      </c>
      <c r="F9" s="18">
        <f t="shared" si="2"/>
        <v>10.070556310657977</v>
      </c>
      <c r="G9" s="14">
        <f t="shared" si="3"/>
        <v>318.44656783525829</v>
      </c>
      <c r="H9" s="14">
        <f t="shared" si="5"/>
        <v>0.34213367689369534</v>
      </c>
      <c r="I9" s="19">
        <f t="shared" si="4"/>
        <v>1.0743833077538178E-3</v>
      </c>
      <c r="J9" s="14">
        <f t="shared" si="6"/>
        <v>-1.8648321647416992</v>
      </c>
      <c r="K9" s="14">
        <f t="shared" si="7"/>
        <v>-1.8648321647416992</v>
      </c>
      <c r="L9" s="14">
        <f t="shared" si="7"/>
        <v>-5.8570083956365065E-3</v>
      </c>
      <c r="M9" s="20">
        <f t="shared" si="8"/>
        <v>-5.8570083956365065E-3</v>
      </c>
      <c r="N9" s="12"/>
      <c r="O9" s="13"/>
      <c r="P9" s="13"/>
      <c r="Q9" s="14"/>
    </row>
    <row r="10" spans="1:19" x14ac:dyDescent="0.25">
      <c r="A10" s="8">
        <v>37742</v>
      </c>
      <c r="B10" s="9">
        <v>2003.329</v>
      </c>
      <c r="C10">
        <f t="shared" si="0"/>
        <v>4503</v>
      </c>
      <c r="D10" s="10">
        <v>-1.72</v>
      </c>
      <c r="E10" s="20">
        <f t="shared" si="1"/>
        <v>2.0690160078176995E-3</v>
      </c>
      <c r="F10" s="18">
        <f t="shared" si="2"/>
        <v>10.072625326665795</v>
      </c>
      <c r="G10" s="14">
        <f t="shared" si="3"/>
        <v>318.57743225016213</v>
      </c>
      <c r="H10" s="14">
        <f t="shared" si="5"/>
        <v>0.13086441490384004</v>
      </c>
      <c r="I10" s="19">
        <f t="shared" si="4"/>
        <v>4.107774175324481E-4</v>
      </c>
      <c r="J10" s="14">
        <f t="shared" si="6"/>
        <v>-1.7339677498378592</v>
      </c>
      <c r="K10" s="14">
        <f t="shared" si="7"/>
        <v>-1.7339677498378592</v>
      </c>
      <c r="L10" s="14">
        <f t="shared" si="7"/>
        <v>-5.4462309781040585E-3</v>
      </c>
      <c r="M10" s="20">
        <f t="shared" si="8"/>
        <v>-5.4462309781040585E-3</v>
      </c>
      <c r="N10" s="12"/>
      <c r="O10" s="13"/>
      <c r="P10" s="13"/>
      <c r="Q10" s="14"/>
    </row>
    <row r="11" spans="1:19" x14ac:dyDescent="0.25">
      <c r="A11" s="8">
        <v>37747</v>
      </c>
      <c r="B11" s="9">
        <v>2003.3430000000001</v>
      </c>
      <c r="C11">
        <f t="shared" si="0"/>
        <v>4508</v>
      </c>
      <c r="D11" s="10">
        <v>-1.6</v>
      </c>
      <c r="E11" s="20">
        <f t="shared" si="1"/>
        <v>1.9098609302932573E-3</v>
      </c>
      <c r="F11" s="18">
        <f t="shared" si="2"/>
        <v>10.074535187596089</v>
      </c>
      <c r="G11" s="14">
        <f t="shared" si="3"/>
        <v>318.69825403279094</v>
      </c>
      <c r="H11" s="14">
        <f t="shared" si="5"/>
        <v>0.12082178262880916</v>
      </c>
      <c r="I11" s="19">
        <f t="shared" si="4"/>
        <v>3.7911027468753492E-4</v>
      </c>
      <c r="J11" s="14">
        <f t="shared" si="6"/>
        <v>-1.61314596720905</v>
      </c>
      <c r="K11" s="14">
        <f t="shared" si="7"/>
        <v>-1.61314596720905</v>
      </c>
      <c r="L11" s="14">
        <f t="shared" si="7"/>
        <v>-5.0671207034165234E-3</v>
      </c>
      <c r="M11" s="20">
        <f t="shared" si="8"/>
        <v>-5.0671207034165234E-3</v>
      </c>
      <c r="N11" s="12"/>
      <c r="O11" s="13"/>
      <c r="P11" s="13"/>
      <c r="Q11" s="14"/>
    </row>
    <row r="12" spans="1:19" x14ac:dyDescent="0.25">
      <c r="A12" s="8">
        <v>37754</v>
      </c>
      <c r="B12" s="9">
        <v>2003.3620000000001</v>
      </c>
      <c r="C12">
        <f t="shared" si="0"/>
        <v>4515</v>
      </c>
      <c r="D12" s="10">
        <v>-1.04</v>
      </c>
      <c r="E12" s="20">
        <f t="shared" si="1"/>
        <v>8.9126843413685451E-3</v>
      </c>
      <c r="F12" s="18">
        <f t="shared" si="2"/>
        <v>10.083447871937457</v>
      </c>
      <c r="G12" s="14">
        <f t="shared" si="3"/>
        <v>319.26239189629132</v>
      </c>
      <c r="H12" s="14">
        <f t="shared" si="5"/>
        <v>0.56413786350037753</v>
      </c>
      <c r="I12" s="19">
        <f t="shared" si="4"/>
        <v>1.7670038119730405E-3</v>
      </c>
      <c r="J12" s="14">
        <f t="shared" si="6"/>
        <v>-1.0490081037086725</v>
      </c>
      <c r="K12" s="14">
        <f t="shared" si="7"/>
        <v>-1.0490081037086725</v>
      </c>
      <c r="L12" s="14">
        <f t="shared" si="7"/>
        <v>-3.3001168914434829E-3</v>
      </c>
      <c r="M12" s="20">
        <f t="shared" si="8"/>
        <v>-3.3001168914434829E-3</v>
      </c>
      <c r="N12" s="22"/>
      <c r="O12" s="13"/>
      <c r="P12" s="13"/>
      <c r="Q12" s="14"/>
    </row>
    <row r="13" spans="1:19" x14ac:dyDescent="0.25">
      <c r="A13" s="8">
        <v>37761</v>
      </c>
      <c r="B13" s="9">
        <v>2003.3810000000001</v>
      </c>
      <c r="C13">
        <f t="shared" si="0"/>
        <v>4522</v>
      </c>
      <c r="D13" s="10">
        <v>-0.65000000000000213</v>
      </c>
      <c r="E13" s="20">
        <f t="shared" si="1"/>
        <v>6.2070480234530595E-3</v>
      </c>
      <c r="F13" s="18">
        <f t="shared" si="2"/>
        <v>10.08965491996091</v>
      </c>
      <c r="G13" s="14">
        <f t="shared" si="3"/>
        <v>319.65556830821902</v>
      </c>
      <c r="H13" s="14">
        <f t="shared" si="5"/>
        <v>0.3931764119276977</v>
      </c>
      <c r="I13" s="19">
        <f t="shared" si="4"/>
        <v>1.2300001968011652E-3</v>
      </c>
      <c r="J13" s="14">
        <f t="shared" si="6"/>
        <v>-0.65583169178097478</v>
      </c>
      <c r="K13" s="14">
        <f t="shared" si="7"/>
        <v>-0.65583169178097478</v>
      </c>
      <c r="L13" s="14">
        <f t="shared" si="7"/>
        <v>-2.0701166946423179E-3</v>
      </c>
      <c r="M13" s="20">
        <f t="shared" si="8"/>
        <v>-2.0701166946423179E-3</v>
      </c>
      <c r="N13" s="22"/>
      <c r="O13" s="13"/>
      <c r="P13" s="13"/>
      <c r="Q13" s="14"/>
    </row>
    <row r="14" spans="1:19" x14ac:dyDescent="0.25">
      <c r="A14" s="8">
        <v>37768</v>
      </c>
      <c r="B14" s="9">
        <v>2003.4</v>
      </c>
      <c r="C14">
        <f t="shared" si="0"/>
        <v>4529</v>
      </c>
      <c r="D14" s="10">
        <v>-0.28000000000000114</v>
      </c>
      <c r="E14" s="20">
        <f t="shared" si="1"/>
        <v>5.888737868404232E-3</v>
      </c>
      <c r="F14" s="18">
        <f t="shared" si="2"/>
        <v>10.095543657829314</v>
      </c>
      <c r="G14" s="14">
        <f t="shared" si="3"/>
        <v>320.02880548601229</v>
      </c>
      <c r="H14" s="14">
        <f t="shared" si="5"/>
        <v>0.37323717779327126</v>
      </c>
      <c r="I14" s="19">
        <f t="shared" si="4"/>
        <v>1.1662611971020983E-3</v>
      </c>
      <c r="J14" s="14">
        <f t="shared" si="6"/>
        <v>-0.28259451398770352</v>
      </c>
      <c r="K14" s="14">
        <f t="shared" si="7"/>
        <v>-0.28259451398770352</v>
      </c>
      <c r="L14" s="14">
        <f t="shared" si="7"/>
        <v>-9.0385549754021959E-4</v>
      </c>
      <c r="M14" s="20">
        <f t="shared" si="8"/>
        <v>-9.0385549754021959E-4</v>
      </c>
      <c r="N14" s="22"/>
      <c r="O14" s="13"/>
      <c r="P14" s="13"/>
      <c r="Q14" s="14"/>
    </row>
    <row r="15" spans="1:19" x14ac:dyDescent="0.25">
      <c r="A15" s="8">
        <v>37775</v>
      </c>
      <c r="B15" s="9">
        <v>2003.4190000000001</v>
      </c>
      <c r="C15">
        <f t="shared" si="0"/>
        <v>4536</v>
      </c>
      <c r="D15" s="10">
        <v>0</v>
      </c>
      <c r="E15" s="20">
        <f t="shared" si="1"/>
        <v>4.4563421706842899E-3</v>
      </c>
      <c r="F15" s="18">
        <f t="shared" si="2"/>
        <v>10.099999999999998</v>
      </c>
      <c r="G15" s="14">
        <f t="shared" si="3"/>
        <v>320.31139999999988</v>
      </c>
      <c r="H15" s="14">
        <f t="shared" si="5"/>
        <v>0.28259451398758983</v>
      </c>
      <c r="I15" s="19">
        <f t="shared" si="4"/>
        <v>8.8224931734427791E-4</v>
      </c>
      <c r="J15" s="14">
        <f t="shared" si="6"/>
        <v>-1.1368683772161603E-13</v>
      </c>
      <c r="K15" s="14">
        <f t="shared" si="7"/>
        <v>-1.1368683772161603E-13</v>
      </c>
      <c r="L15" s="14">
        <f t="shared" si="7"/>
        <v>-2.1606180195941687E-5</v>
      </c>
      <c r="M15" s="20">
        <f t="shared" si="8"/>
        <v>-2.1606180195941687E-5</v>
      </c>
      <c r="N15" s="22"/>
      <c r="O15" s="13"/>
      <c r="P15" s="13"/>
      <c r="Q15" s="14"/>
    </row>
    <row r="16" spans="1:19" x14ac:dyDescent="0.25">
      <c r="A16" s="8">
        <v>37782</v>
      </c>
      <c r="B16" s="9">
        <v>2003.4380000000001</v>
      </c>
      <c r="C16">
        <f t="shared" si="0"/>
        <v>4543</v>
      </c>
      <c r="D16" s="10">
        <v>-6.0000000000002274E-2</v>
      </c>
      <c r="E16" s="20">
        <f t="shared" si="1"/>
        <v>-9.5493046514666575E-4</v>
      </c>
      <c r="F16" s="18">
        <f t="shared" si="2"/>
        <v>10.099045069534851</v>
      </c>
      <c r="G16" s="14">
        <f t="shared" si="3"/>
        <v>320.25083353379807</v>
      </c>
      <c r="H16" s="14">
        <f t="shared" si="5"/>
        <v>-6.0566466201805724E-2</v>
      </c>
      <c r="I16" s="19">
        <f t="shared" si="4"/>
        <v>-1.8912196272367787E-4</v>
      </c>
      <c r="J16" s="14">
        <f t="shared" si="6"/>
        <v>-6.0566466201919411E-2</v>
      </c>
      <c r="K16" s="14">
        <f t="shared" si="7"/>
        <v>-6.0566466201919411E-2</v>
      </c>
      <c r="L16" s="14">
        <f t="shared" si="7"/>
        <v>-2.1072814291961956E-4</v>
      </c>
      <c r="M16" s="20">
        <f t="shared" si="8"/>
        <v>-2.1072814291961956E-4</v>
      </c>
      <c r="N16" s="22"/>
      <c r="O16" s="13"/>
      <c r="P16" s="13"/>
      <c r="Q16" s="14"/>
    </row>
    <row r="17" spans="1:13" x14ac:dyDescent="0.25">
      <c r="A17" s="8">
        <v>37789</v>
      </c>
      <c r="B17" s="9">
        <v>2003.4580000000001</v>
      </c>
      <c r="C17">
        <f t="shared" si="0"/>
        <v>4550</v>
      </c>
      <c r="D17" s="10">
        <v>0.32</v>
      </c>
      <c r="E17" s="20">
        <f t="shared" si="1"/>
        <v>6.0478929459286904E-3</v>
      </c>
      <c r="F17" s="18">
        <f t="shared" si="2"/>
        <v>10.10509296248078</v>
      </c>
      <c r="G17" s="14">
        <f t="shared" si="3"/>
        <v>320.63451787038878</v>
      </c>
      <c r="H17" s="14">
        <f t="shared" si="5"/>
        <v>0.38368433659070433</v>
      </c>
      <c r="I17" s="19">
        <f t="shared" si="4"/>
        <v>1.1966407707413537E-3</v>
      </c>
      <c r="J17" s="14">
        <f t="shared" si="6"/>
        <v>0.32311787038878492</v>
      </c>
      <c r="K17" s="14">
        <f t="shared" si="7"/>
        <v>0.32311787038878492</v>
      </c>
      <c r="L17" s="14">
        <f t="shared" si="7"/>
        <v>9.8591262782173408E-4</v>
      </c>
      <c r="M17" s="20">
        <f t="shared" si="8"/>
        <v>9.8591262782173408E-4</v>
      </c>
    </row>
    <row r="18" spans="1:13" x14ac:dyDescent="0.25">
      <c r="A18" s="8">
        <v>37796</v>
      </c>
      <c r="B18" s="9">
        <v>2003.4770000000001</v>
      </c>
      <c r="C18">
        <f t="shared" si="0"/>
        <v>4557</v>
      </c>
      <c r="D18" s="10">
        <v>0.41999999999999815</v>
      </c>
      <c r="E18" s="20">
        <f t="shared" si="1"/>
        <v>1.5915507752443533E-3</v>
      </c>
      <c r="F18" s="18">
        <f t="shared" si="2"/>
        <v>10.106684513256024</v>
      </c>
      <c r="G18" s="14">
        <f t="shared" si="3"/>
        <v>320.735525610536</v>
      </c>
      <c r="H18" s="14">
        <f t="shared" si="5"/>
        <v>0.10100774014722447</v>
      </c>
      <c r="I18" s="19">
        <f t="shared" si="4"/>
        <v>3.149253265753808E-4</v>
      </c>
      <c r="J18" s="14">
        <f t="shared" si="6"/>
        <v>0.42412561053600939</v>
      </c>
      <c r="K18" s="14">
        <f t="shared" si="7"/>
        <v>0.42412561053600939</v>
      </c>
      <c r="L18" s="14">
        <f t="shared" si="7"/>
        <v>1.3008379543971149E-3</v>
      </c>
      <c r="M18" s="20">
        <f t="shared" si="8"/>
        <v>1.3008379543971149E-3</v>
      </c>
    </row>
    <row r="19" spans="1:13" x14ac:dyDescent="0.25">
      <c r="A19" s="8">
        <v>37803</v>
      </c>
      <c r="B19" s="9">
        <v>2003.4960000000001</v>
      </c>
      <c r="C19">
        <f t="shared" si="0"/>
        <v>4564</v>
      </c>
      <c r="D19" s="10">
        <v>3.9999999999999147E-2</v>
      </c>
      <c r="E19" s="20">
        <f t="shared" si="1"/>
        <v>-6.0478929459286384E-3</v>
      </c>
      <c r="F19" s="18">
        <f t="shared" si="2"/>
        <v>10.100636620310095</v>
      </c>
      <c r="G19" s="14">
        <f t="shared" si="3"/>
        <v>320.35178082562487</v>
      </c>
      <c r="H19" s="14">
        <f t="shared" si="5"/>
        <v>-0.38374478491112995</v>
      </c>
      <c r="I19" s="19">
        <f t="shared" si="4"/>
        <v>-1.1978855991439342E-3</v>
      </c>
      <c r="J19" s="14">
        <f t="shared" si="6"/>
        <v>4.0380825624879435E-2</v>
      </c>
      <c r="K19" s="14">
        <f t="shared" si="7"/>
        <v>4.0380825624879435E-2</v>
      </c>
      <c r="L19" s="14">
        <f t="shared" si="7"/>
        <v>1.0295235525318073E-4</v>
      </c>
      <c r="M19" s="20">
        <f t="shared" si="8"/>
        <v>1.0295235525318073E-4</v>
      </c>
    </row>
    <row r="20" spans="1:13" x14ac:dyDescent="0.25">
      <c r="A20" s="8">
        <v>37810</v>
      </c>
      <c r="B20" s="9">
        <v>2003.5150000000001</v>
      </c>
      <c r="C20">
        <f t="shared" si="0"/>
        <v>4571</v>
      </c>
      <c r="D20" s="10">
        <v>0.2099999999999973</v>
      </c>
      <c r="E20" s="20">
        <f t="shared" si="1"/>
        <v>2.705636317915421E-3</v>
      </c>
      <c r="F20" s="18">
        <f t="shared" si="2"/>
        <v>10.103342256628009</v>
      </c>
      <c r="G20" s="14">
        <f t="shared" si="3"/>
        <v>320.52342772933457</v>
      </c>
      <c r="H20" s="14">
        <f t="shared" si="5"/>
        <v>0.17164690370969993</v>
      </c>
      <c r="I20" s="19">
        <f t="shared" si="4"/>
        <v>5.355206167788984E-4</v>
      </c>
      <c r="J20" s="14">
        <f t="shared" si="6"/>
        <v>0.21202772933457936</v>
      </c>
      <c r="K20" s="14">
        <f t="shared" ref="K20:L35" si="9">H20+K19</f>
        <v>0.21202772933457936</v>
      </c>
      <c r="L20" s="14">
        <f t="shared" si="9"/>
        <v>6.3847297203207913E-4</v>
      </c>
      <c r="M20" s="20">
        <f t="shared" si="8"/>
        <v>6.3847297203207913E-4</v>
      </c>
    </row>
    <row r="21" spans="1:13" x14ac:dyDescent="0.25">
      <c r="A21" s="8">
        <v>37817</v>
      </c>
      <c r="B21" s="9">
        <v>2003.5340000000001</v>
      </c>
      <c r="C21">
        <f t="shared" si="0"/>
        <v>4578</v>
      </c>
      <c r="D21" s="10">
        <v>8.9999999999999858E-2</v>
      </c>
      <c r="E21" s="20">
        <f t="shared" si="1"/>
        <v>-1.9098609302932183E-3</v>
      </c>
      <c r="F21" s="18">
        <f t="shared" si="2"/>
        <v>10.101432395697715</v>
      </c>
      <c r="G21" s="14">
        <f t="shared" si="3"/>
        <v>320.40226043683305</v>
      </c>
      <c r="H21" s="14">
        <f t="shared" si="5"/>
        <v>-0.12116729250152503</v>
      </c>
      <c r="I21" s="19">
        <f t="shared" si="4"/>
        <v>-3.7817240220567363E-4</v>
      </c>
      <c r="J21" s="14">
        <f t="shared" si="6"/>
        <v>9.0860436833054337E-2</v>
      </c>
      <c r="K21" s="14">
        <f t="shared" si="9"/>
        <v>9.0860436833054337E-2</v>
      </c>
      <c r="L21" s="14">
        <f t="shared" si="9"/>
        <v>2.603005698264055E-4</v>
      </c>
      <c r="M21" s="20">
        <f t="shared" si="8"/>
        <v>2.603005698264055E-4</v>
      </c>
    </row>
    <row r="22" spans="1:13" x14ac:dyDescent="0.25">
      <c r="A22" s="8">
        <v>37823</v>
      </c>
      <c r="B22" s="9">
        <v>2003.5509999999999</v>
      </c>
      <c r="C22">
        <f t="shared" si="0"/>
        <v>4584</v>
      </c>
      <c r="D22" s="10">
        <v>8.9999999999999858E-2</v>
      </c>
      <c r="E22" s="20">
        <f t="shared" si="1"/>
        <v>0</v>
      </c>
      <c r="F22" s="18">
        <f t="shared" si="2"/>
        <v>10.101432395697715</v>
      </c>
      <c r="G22" s="14">
        <f t="shared" si="3"/>
        <v>320.40226043683305</v>
      </c>
      <c r="H22" s="14">
        <f t="shared" si="5"/>
        <v>0</v>
      </c>
      <c r="I22" s="19">
        <f t="shared" si="4"/>
        <v>0</v>
      </c>
      <c r="J22" s="14">
        <f t="shared" si="6"/>
        <v>9.0860436833054337E-2</v>
      </c>
      <c r="K22" s="14">
        <f t="shared" si="9"/>
        <v>9.0860436833054337E-2</v>
      </c>
      <c r="L22" s="14">
        <f t="shared" si="9"/>
        <v>2.603005698264055E-4</v>
      </c>
      <c r="M22" s="20">
        <f t="shared" si="8"/>
        <v>2.603005698264055E-4</v>
      </c>
    </row>
    <row r="23" spans="1:13" x14ac:dyDescent="0.25">
      <c r="A23" s="8">
        <v>37831</v>
      </c>
      <c r="B23" s="9">
        <v>2003.5730000000001</v>
      </c>
      <c r="C23">
        <f t="shared" si="0"/>
        <v>4592</v>
      </c>
      <c r="D23" s="10">
        <v>0.16</v>
      </c>
      <c r="E23" s="20">
        <f t="shared" si="1"/>
        <v>1.1140855426710703E-3</v>
      </c>
      <c r="F23" s="18">
        <f t="shared" si="2"/>
        <v>10.102546481240386</v>
      </c>
      <c r="G23" s="14">
        <f t="shared" si="3"/>
        <v>320.47293857365469</v>
      </c>
      <c r="H23" s="14">
        <f t="shared" si="5"/>
        <v>7.0678136821641147E-2</v>
      </c>
      <c r="I23" s="19">
        <f t="shared" si="4"/>
        <v>2.2054322944149965E-4</v>
      </c>
      <c r="J23" s="14">
        <f t="shared" si="6"/>
        <v>0.16153857365469548</v>
      </c>
      <c r="K23" s="14">
        <f t="shared" si="9"/>
        <v>0.16153857365469548</v>
      </c>
      <c r="L23" s="14">
        <f t="shared" si="9"/>
        <v>4.8084379926790512E-4</v>
      </c>
      <c r="M23" s="20">
        <f t="shared" si="8"/>
        <v>4.8084379926790512E-4</v>
      </c>
    </row>
    <row r="24" spans="1:13" x14ac:dyDescent="0.25">
      <c r="A24" s="8">
        <v>37839</v>
      </c>
      <c r="B24" s="9">
        <v>2003.5940000000001</v>
      </c>
      <c r="C24">
        <f t="shared" si="0"/>
        <v>4600</v>
      </c>
      <c r="D24" s="10">
        <v>0.16999999999999815</v>
      </c>
      <c r="E24" s="20">
        <f t="shared" si="1"/>
        <v>1.5915507752440881E-4</v>
      </c>
      <c r="F24" s="18">
        <f t="shared" si="2"/>
        <v>10.102705636317911</v>
      </c>
      <c r="G24" s="14">
        <f t="shared" si="3"/>
        <v>320.48303608664162</v>
      </c>
      <c r="H24" s="14">
        <f t="shared" si="5"/>
        <v>1.0097512986931179E-2</v>
      </c>
      <c r="I24" s="19">
        <f t="shared" si="4"/>
        <v>3.1507168398770868E-5</v>
      </c>
      <c r="J24" s="14">
        <f t="shared" si="6"/>
        <v>0.17163608664162666</v>
      </c>
      <c r="K24" s="14">
        <f t="shared" si="9"/>
        <v>0.17163608664162666</v>
      </c>
      <c r="L24" s="14">
        <f t="shared" si="9"/>
        <v>5.1235096766667602E-4</v>
      </c>
      <c r="M24" s="20">
        <f t="shared" si="8"/>
        <v>5.1235096766667602E-4</v>
      </c>
    </row>
    <row r="25" spans="1:13" x14ac:dyDescent="0.25">
      <c r="A25" s="8">
        <v>37846</v>
      </c>
      <c r="B25" s="9">
        <v>2003.614</v>
      </c>
      <c r="C25">
        <f t="shared" si="0"/>
        <v>4607</v>
      </c>
      <c r="D25" s="10">
        <v>0.30999999999999872</v>
      </c>
      <c r="E25" s="20">
        <f t="shared" si="1"/>
        <v>2.228171085342145E-3</v>
      </c>
      <c r="F25" s="18">
        <f t="shared" si="2"/>
        <v>10.104933807403253</v>
      </c>
      <c r="G25" s="14">
        <f t="shared" si="3"/>
        <v>320.62441797128378</v>
      </c>
      <c r="H25" s="14">
        <f t="shared" si="5"/>
        <v>0.14138188464215773</v>
      </c>
      <c r="I25" s="19">
        <f t="shared" si="4"/>
        <v>4.4095794555117253E-4</v>
      </c>
      <c r="J25" s="14">
        <f t="shared" si="6"/>
        <v>0.31301797128378439</v>
      </c>
      <c r="K25" s="14">
        <f t="shared" si="9"/>
        <v>0.31301797128378439</v>
      </c>
      <c r="L25" s="14">
        <f t="shared" si="9"/>
        <v>9.533089132178485E-4</v>
      </c>
      <c r="M25" s="20">
        <f t="shared" si="8"/>
        <v>9.533089132178485E-4</v>
      </c>
    </row>
    <row r="26" spans="1:13" x14ac:dyDescent="0.25">
      <c r="A26" s="8">
        <v>37852</v>
      </c>
      <c r="B26" s="9">
        <v>2003.63</v>
      </c>
      <c r="C26">
        <f t="shared" si="0"/>
        <v>4613</v>
      </c>
      <c r="D26" s="10">
        <v>0.46999999999999886</v>
      </c>
      <c r="E26" s="20">
        <f t="shared" si="1"/>
        <v>2.5464812403910146E-3</v>
      </c>
      <c r="F26" s="18">
        <f t="shared" si="2"/>
        <v>10.107480288643643</v>
      </c>
      <c r="G26" s="14">
        <f t="shared" si="3"/>
        <v>320.78603544590413</v>
      </c>
      <c r="H26" s="14">
        <f t="shared" si="5"/>
        <v>0.16161747462035692</v>
      </c>
      <c r="I26" s="19">
        <f t="shared" si="4"/>
        <v>5.0381705174822467E-4</v>
      </c>
      <c r="J26" s="14">
        <f t="shared" si="6"/>
        <v>0.47463544590414131</v>
      </c>
      <c r="K26" s="14">
        <f t="shared" si="9"/>
        <v>0.47463544590414131</v>
      </c>
      <c r="L26" s="14">
        <f t="shared" si="9"/>
        <v>1.4571259649660733E-3</v>
      </c>
      <c r="M26" s="20">
        <f t="shared" si="8"/>
        <v>1.4571259649660733E-3</v>
      </c>
    </row>
    <row r="27" spans="1:13" x14ac:dyDescent="0.25">
      <c r="A27" s="8">
        <v>37859</v>
      </c>
      <c r="B27" s="9">
        <v>2003.6489999999999</v>
      </c>
      <c r="C27">
        <f t="shared" si="0"/>
        <v>4620</v>
      </c>
      <c r="D27" s="10">
        <v>1.1100000000000001</v>
      </c>
      <c r="E27" s="20">
        <f t="shared" si="1"/>
        <v>1.0185924961564069E-2</v>
      </c>
      <c r="F27" s="18">
        <f t="shared" si="2"/>
        <v>10.117666213605206</v>
      </c>
      <c r="G27" s="14">
        <f t="shared" si="3"/>
        <v>321.4329125751749</v>
      </c>
      <c r="H27" s="14">
        <f t="shared" si="5"/>
        <v>0.64687712927076291</v>
      </c>
      <c r="I27" s="19">
        <f t="shared" si="4"/>
        <v>2.0124794442743163E-3</v>
      </c>
      <c r="J27" s="14">
        <f t="shared" si="6"/>
        <v>1.1215125751749042</v>
      </c>
      <c r="K27" s="14">
        <f t="shared" si="9"/>
        <v>1.1215125751749042</v>
      </c>
      <c r="L27" s="14">
        <f t="shared" si="9"/>
        <v>3.4696054092403896E-3</v>
      </c>
      <c r="M27" s="20">
        <f t="shared" si="8"/>
        <v>3.4696054092403896E-3</v>
      </c>
    </row>
    <row r="28" spans="1:13" x14ac:dyDescent="0.25">
      <c r="A28" s="8">
        <v>37866</v>
      </c>
      <c r="B28" s="9">
        <v>2003.6679999999999</v>
      </c>
      <c r="C28">
        <f t="shared" si="0"/>
        <v>4627</v>
      </c>
      <c r="D28" s="10">
        <v>1.49</v>
      </c>
      <c r="E28" s="20">
        <f t="shared" si="1"/>
        <v>6.0478929459286531E-3</v>
      </c>
      <c r="F28" s="18">
        <f t="shared" si="2"/>
        <v>10.123714106551136</v>
      </c>
      <c r="G28" s="14">
        <f t="shared" si="3"/>
        <v>321.81730415711291</v>
      </c>
      <c r="H28" s="14">
        <f t="shared" si="5"/>
        <v>0.38439158193801859</v>
      </c>
      <c r="I28" s="19">
        <f t="shared" si="4"/>
        <v>1.1944403764887564E-3</v>
      </c>
      <c r="J28" s="14">
        <f t="shared" si="6"/>
        <v>1.5059041571129228</v>
      </c>
      <c r="K28" s="14">
        <f t="shared" si="9"/>
        <v>1.5059041571129228</v>
      </c>
      <c r="L28" s="14">
        <f t="shared" si="9"/>
        <v>4.6640457857291462E-3</v>
      </c>
      <c r="M28" s="20">
        <f t="shared" si="8"/>
        <v>4.6640457857291462E-3</v>
      </c>
    </row>
    <row r="29" spans="1:13" x14ac:dyDescent="0.25">
      <c r="A29" s="8">
        <v>37873</v>
      </c>
      <c r="B29" s="9">
        <v>2003.6880000000001</v>
      </c>
      <c r="C29">
        <f t="shared" si="0"/>
        <v>4634</v>
      </c>
      <c r="D29" s="10">
        <v>1.64</v>
      </c>
      <c r="E29" s="20">
        <f t="shared" si="1"/>
        <v>2.3873261628665726E-3</v>
      </c>
      <c r="F29" s="18">
        <f t="shared" si="2"/>
        <v>10.126101432714002</v>
      </c>
      <c r="G29" s="14">
        <f t="shared" si="3"/>
        <v>321.96910090842346</v>
      </c>
      <c r="H29" s="14">
        <f t="shared" si="5"/>
        <v>0.15179675131054182</v>
      </c>
      <c r="I29" s="19">
        <f t="shared" si="4"/>
        <v>4.7146372394820844E-4</v>
      </c>
      <c r="J29" s="14">
        <f t="shared" si="6"/>
        <v>1.6577009084234646</v>
      </c>
      <c r="K29" s="14">
        <f t="shared" si="9"/>
        <v>1.6577009084234646</v>
      </c>
      <c r="L29" s="14">
        <f t="shared" si="9"/>
        <v>5.1355095096773549E-3</v>
      </c>
      <c r="M29" s="20">
        <f t="shared" si="8"/>
        <v>5.1355095096773549E-3</v>
      </c>
    </row>
    <row r="30" spans="1:13" x14ac:dyDescent="0.25">
      <c r="A30" s="8">
        <v>37881</v>
      </c>
      <c r="B30" s="9">
        <v>2003.71</v>
      </c>
      <c r="C30">
        <f t="shared" si="0"/>
        <v>4642</v>
      </c>
      <c r="D30" s="10">
        <v>1.78</v>
      </c>
      <c r="E30" s="20">
        <f t="shared" si="1"/>
        <v>2.2281710853421376E-3</v>
      </c>
      <c r="F30" s="18">
        <f t="shared" si="2"/>
        <v>10.128329603799344</v>
      </c>
      <c r="G30" s="14">
        <f t="shared" si="3"/>
        <v>322.1108101684423</v>
      </c>
      <c r="H30" s="14">
        <f t="shared" si="5"/>
        <v>0.14170926001884254</v>
      </c>
      <c r="I30" s="19">
        <f t="shared" si="4"/>
        <v>4.3993947283153313E-4</v>
      </c>
      <c r="J30" s="14">
        <f t="shared" si="6"/>
        <v>1.7994101684423072</v>
      </c>
      <c r="K30" s="14">
        <f t="shared" si="9"/>
        <v>1.7994101684423072</v>
      </c>
      <c r="L30" s="14">
        <f t="shared" si="9"/>
        <v>5.5754489825088878E-3</v>
      </c>
      <c r="M30" s="20">
        <f t="shared" si="8"/>
        <v>5.5754489825088878E-3</v>
      </c>
    </row>
    <row r="31" spans="1:13" x14ac:dyDescent="0.25">
      <c r="A31" s="8">
        <v>37889</v>
      </c>
      <c r="B31" s="9">
        <v>2003.731</v>
      </c>
      <c r="C31">
        <f t="shared" si="0"/>
        <v>4650</v>
      </c>
      <c r="D31" s="10">
        <v>1.61</v>
      </c>
      <c r="E31" s="20">
        <f t="shared" si="1"/>
        <v>-2.7056363179154496E-3</v>
      </c>
      <c r="F31" s="18">
        <f t="shared" si="2"/>
        <v>10.125623967481427</v>
      </c>
      <c r="G31" s="14">
        <f t="shared" si="3"/>
        <v>321.93873869481979</v>
      </c>
      <c r="H31" s="14">
        <f t="shared" si="5"/>
        <v>-0.17207147362250907</v>
      </c>
      <c r="I31" s="19">
        <f t="shared" si="4"/>
        <v>-5.3448514559045767E-4</v>
      </c>
      <c r="J31" s="14">
        <f t="shared" si="6"/>
        <v>1.6273386948197981</v>
      </c>
      <c r="K31" s="14">
        <f t="shared" si="9"/>
        <v>1.6273386948197981</v>
      </c>
      <c r="L31" s="14">
        <f t="shared" si="9"/>
        <v>5.0409638369184303E-3</v>
      </c>
      <c r="M31" s="20">
        <f t="shared" si="8"/>
        <v>5.0409638369184303E-3</v>
      </c>
    </row>
    <row r="32" spans="1:13" x14ac:dyDescent="0.25">
      <c r="A32" s="8">
        <v>37894</v>
      </c>
      <c r="B32" s="9">
        <v>2003.7449999999999</v>
      </c>
      <c r="C32">
        <f t="shared" si="0"/>
        <v>4655</v>
      </c>
      <c r="D32" s="10">
        <v>1.66</v>
      </c>
      <c r="E32" s="20">
        <f t="shared" si="1"/>
        <v>7.9577538762218845E-4</v>
      </c>
      <c r="F32" s="18">
        <f t="shared" si="2"/>
        <v>10.12641974286905</v>
      </c>
      <c r="G32" s="14">
        <f t="shared" si="3"/>
        <v>321.98934317953177</v>
      </c>
      <c r="H32" s="14">
        <f t="shared" si="5"/>
        <v>5.0604484711982423E-2</v>
      </c>
      <c r="I32" s="19">
        <f t="shared" si="4"/>
        <v>1.5716198620824184E-4</v>
      </c>
      <c r="J32" s="14">
        <f t="shared" si="6"/>
        <v>1.6779431795317805</v>
      </c>
      <c r="K32" s="14">
        <f t="shared" si="9"/>
        <v>1.6779431795317805</v>
      </c>
      <c r="L32" s="14">
        <f t="shared" si="9"/>
        <v>5.1981258231266723E-3</v>
      </c>
      <c r="M32" s="20">
        <f t="shared" si="8"/>
        <v>5.1981258231266723E-3</v>
      </c>
    </row>
    <row r="33" spans="1:13" x14ac:dyDescent="0.25">
      <c r="A33" s="8">
        <v>37901</v>
      </c>
      <c r="B33" s="9">
        <v>2003.7639999999999</v>
      </c>
      <c r="C33">
        <f t="shared" si="0"/>
        <v>4662</v>
      </c>
      <c r="D33" s="10">
        <v>2.02</v>
      </c>
      <c r="E33" s="20">
        <f t="shared" si="1"/>
        <v>5.7295827908797796E-3</v>
      </c>
      <c r="F33" s="18">
        <f t="shared" si="2"/>
        <v>10.132149325659929</v>
      </c>
      <c r="G33" s="14">
        <f t="shared" si="3"/>
        <v>322.35381286645884</v>
      </c>
      <c r="H33" s="14">
        <f t="shared" si="5"/>
        <v>0.36446968692706605</v>
      </c>
      <c r="I33" s="19">
        <f t="shared" si="4"/>
        <v>1.1306510808297915E-3</v>
      </c>
      <c r="J33" s="14">
        <f t="shared" si="6"/>
        <v>2.0424128664588466</v>
      </c>
      <c r="K33" s="14">
        <f t="shared" si="9"/>
        <v>2.0424128664588466</v>
      </c>
      <c r="L33" s="14">
        <f t="shared" si="9"/>
        <v>6.3287769039564639E-3</v>
      </c>
      <c r="M33" s="20">
        <f t="shared" si="8"/>
        <v>6.3287769039564639E-3</v>
      </c>
    </row>
    <row r="34" spans="1:13" x14ac:dyDescent="0.25">
      <c r="A34" s="8">
        <v>37908</v>
      </c>
      <c r="B34" s="9">
        <v>2003.7840000000001</v>
      </c>
      <c r="C34">
        <f t="shared" si="0"/>
        <v>4669</v>
      </c>
      <c r="D34" s="10">
        <v>1.96</v>
      </c>
      <c r="E34" s="20">
        <f t="shared" si="1"/>
        <v>-9.5493046514663041E-4</v>
      </c>
      <c r="F34" s="18">
        <f t="shared" si="2"/>
        <v>10.131194395194782</v>
      </c>
      <c r="G34" s="14">
        <f t="shared" si="3"/>
        <v>322.29305360193018</v>
      </c>
      <c r="H34" s="14">
        <f t="shared" si="5"/>
        <v>-6.0759264528655876E-2</v>
      </c>
      <c r="I34" s="19">
        <f t="shared" si="4"/>
        <v>-1.8852179359627374E-4</v>
      </c>
      <c r="J34" s="14">
        <f t="shared" si="6"/>
        <v>1.9816536019301907</v>
      </c>
      <c r="K34" s="14">
        <f t="shared" si="9"/>
        <v>1.9816536019301907</v>
      </c>
      <c r="L34" s="14">
        <f t="shared" si="9"/>
        <v>6.1402551103601904E-3</v>
      </c>
      <c r="M34" s="20">
        <f t="shared" si="8"/>
        <v>6.1402551103601904E-3</v>
      </c>
    </row>
    <row r="35" spans="1:13" x14ac:dyDescent="0.25">
      <c r="A35" s="8">
        <v>37915</v>
      </c>
      <c r="B35" s="9">
        <v>2003.8030000000001</v>
      </c>
      <c r="C35">
        <f t="shared" si="0"/>
        <v>4676</v>
      </c>
      <c r="D35" s="10">
        <v>1.78</v>
      </c>
      <c r="E35" s="20">
        <f t="shared" si="1"/>
        <v>-2.8647913954398881E-3</v>
      </c>
      <c r="F35" s="18">
        <f t="shared" si="2"/>
        <v>10.128329603799342</v>
      </c>
      <c r="G35" s="14">
        <f t="shared" si="3"/>
        <v>322.11081016844213</v>
      </c>
      <c r="H35" s="14">
        <f t="shared" si="5"/>
        <v>-0.18224343348805405</v>
      </c>
      <c r="I35" s="19">
        <f t="shared" si="4"/>
        <v>-5.657786939617242E-4</v>
      </c>
      <c r="J35" s="14">
        <f t="shared" si="6"/>
        <v>1.7994101684421366</v>
      </c>
      <c r="K35" s="14">
        <f t="shared" si="9"/>
        <v>1.7994101684421366</v>
      </c>
      <c r="L35" s="14">
        <f t="shared" si="9"/>
        <v>5.5744764163984661E-3</v>
      </c>
      <c r="M35" s="20">
        <f t="shared" si="8"/>
        <v>5.5744764163984661E-3</v>
      </c>
    </row>
    <row r="36" spans="1:13" x14ac:dyDescent="0.25">
      <c r="A36" s="8">
        <v>37931</v>
      </c>
      <c r="B36" s="9">
        <v>2003.847</v>
      </c>
      <c r="C36">
        <f t="shared" si="0"/>
        <v>4692</v>
      </c>
      <c r="D36" s="10">
        <v>1.71</v>
      </c>
      <c r="E36" s="20">
        <f t="shared" si="1"/>
        <v>-1.1140855426710688E-3</v>
      </c>
      <c r="F36" s="18">
        <f t="shared" si="2"/>
        <v>10.127215518256671</v>
      </c>
      <c r="G36" s="14">
        <f t="shared" si="3"/>
        <v>322.03995164110682</v>
      </c>
      <c r="H36" s="14">
        <f t="shared" si="5"/>
        <v>-7.0858527335303734E-2</v>
      </c>
      <c r="I36" s="19">
        <f t="shared" si="4"/>
        <v>-2.2003023840430546E-4</v>
      </c>
      <c r="J36" s="14">
        <f t="shared" si="6"/>
        <v>1.7285516411068329</v>
      </c>
      <c r="K36" s="14">
        <f t="shared" ref="K36:L51" si="10">H36+K35</f>
        <v>1.7285516411068329</v>
      </c>
      <c r="L36" s="14">
        <f t="shared" si="10"/>
        <v>5.3544461779941608E-3</v>
      </c>
      <c r="M36" s="20">
        <f t="shared" si="8"/>
        <v>5.3544461779941608E-3</v>
      </c>
    </row>
    <row r="37" spans="1:13" x14ac:dyDescent="0.25">
      <c r="A37" s="8">
        <v>37943</v>
      </c>
      <c r="B37" s="9">
        <v>2003.8789999999999</v>
      </c>
      <c r="C37">
        <f t="shared" si="0"/>
        <v>4704</v>
      </c>
      <c r="D37" s="10">
        <v>2.06</v>
      </c>
      <c r="E37" s="20">
        <f t="shared" si="1"/>
        <v>5.5704277133553411E-3</v>
      </c>
      <c r="F37" s="18">
        <f t="shared" si="2"/>
        <v>10.132785945970026</v>
      </c>
      <c r="G37" s="14">
        <f t="shared" si="3"/>
        <v>322.39432222430167</v>
      </c>
      <c r="H37" s="14">
        <f t="shared" si="5"/>
        <v>0.35437058319485004</v>
      </c>
      <c r="I37" s="19">
        <f t="shared" si="4"/>
        <v>1.099183697622011E-3</v>
      </c>
      <c r="J37" s="14">
        <f t="shared" si="6"/>
        <v>2.0829222243016829</v>
      </c>
      <c r="K37" s="14">
        <f t="shared" si="10"/>
        <v>2.0829222243016829</v>
      </c>
      <c r="L37" s="14">
        <f t="shared" si="10"/>
        <v>6.4536298756161722E-3</v>
      </c>
      <c r="M37" s="20">
        <f t="shared" si="8"/>
        <v>6.4536298756161722E-3</v>
      </c>
    </row>
    <row r="38" spans="1:13" x14ac:dyDescent="0.25">
      <c r="A38" s="8">
        <v>37958</v>
      </c>
      <c r="B38" s="9">
        <v>2003.921</v>
      </c>
      <c r="C38">
        <f t="shared" si="0"/>
        <v>4719</v>
      </c>
      <c r="D38" s="10">
        <v>1.66</v>
      </c>
      <c r="E38" s="20">
        <f t="shared" si="1"/>
        <v>-6.3662031009775327E-3</v>
      </c>
      <c r="F38" s="18">
        <f t="shared" si="2"/>
        <v>10.126419742869048</v>
      </c>
      <c r="G38" s="14">
        <f t="shared" si="3"/>
        <v>321.98934317953172</v>
      </c>
      <c r="H38" s="14">
        <f t="shared" si="5"/>
        <v>-0.40497904476995927</v>
      </c>
      <c r="I38" s="19">
        <f t="shared" si="4"/>
        <v>-1.2577405226239272E-3</v>
      </c>
      <c r="J38" s="14">
        <f t="shared" si="6"/>
        <v>1.6779431795317237</v>
      </c>
      <c r="K38" s="14">
        <f t="shared" si="10"/>
        <v>1.6779431795317237</v>
      </c>
      <c r="L38" s="14">
        <f t="shared" si="10"/>
        <v>5.1958893529922452E-3</v>
      </c>
      <c r="M38" s="20">
        <f t="shared" si="8"/>
        <v>5.1958893529922452E-3</v>
      </c>
    </row>
    <row r="39" spans="1:13" x14ac:dyDescent="0.25">
      <c r="A39" s="8">
        <v>37988</v>
      </c>
      <c r="B39" s="9">
        <v>2004.0029999999999</v>
      </c>
      <c r="C39">
        <f t="shared" si="0"/>
        <v>4749</v>
      </c>
      <c r="D39" s="10">
        <v>1.59</v>
      </c>
      <c r="E39" s="20">
        <f t="shared" si="1"/>
        <v>-1.1140855426710653E-3</v>
      </c>
      <c r="F39" s="18">
        <f t="shared" si="2"/>
        <v>10.125305657326377</v>
      </c>
      <c r="G39" s="14">
        <f t="shared" si="3"/>
        <v>321.91849801445659</v>
      </c>
      <c r="H39" s="14">
        <f t="shared" si="5"/>
        <v>-7.084516507512717E-2</v>
      </c>
      <c r="I39" s="19">
        <f t="shared" si="4"/>
        <v>-2.2007174335146682E-4</v>
      </c>
      <c r="J39" s="14">
        <f t="shared" si="6"/>
        <v>1.6070980144565965</v>
      </c>
      <c r="K39" s="14">
        <f>H39</f>
        <v>-7.084516507512717E-2</v>
      </c>
      <c r="L39" s="14">
        <f t="shared" si="10"/>
        <v>4.9758176096407784E-3</v>
      </c>
      <c r="M39" s="20">
        <f>I39</f>
        <v>-2.2007174335146682E-4</v>
      </c>
    </row>
    <row r="40" spans="1:13" x14ac:dyDescent="0.25">
      <c r="A40" s="8">
        <v>37999</v>
      </c>
      <c r="B40" s="9">
        <v>2004.0329999999999</v>
      </c>
      <c r="C40">
        <f t="shared" si="0"/>
        <v>4760</v>
      </c>
      <c r="D40" s="10">
        <v>1.25</v>
      </c>
      <c r="E40" s="20">
        <f t="shared" si="1"/>
        <v>-5.4112726358309026E-3</v>
      </c>
      <c r="F40" s="18">
        <f t="shared" si="2"/>
        <v>10.119894384690546</v>
      </c>
      <c r="G40" s="14">
        <f t="shared" si="3"/>
        <v>321.57450380189454</v>
      </c>
      <c r="H40" s="14">
        <f t="shared" si="5"/>
        <v>-0.34399421256205187</v>
      </c>
      <c r="I40" s="19">
        <f t="shared" si="4"/>
        <v>-1.0697185519843604E-3</v>
      </c>
      <c r="J40" s="14">
        <f t="shared" si="6"/>
        <v>1.2631038018945446</v>
      </c>
      <c r="K40" s="14">
        <f t="shared" ref="K40:L55" si="11">H40+K39</f>
        <v>-0.41483937763717904</v>
      </c>
      <c r="L40" s="14">
        <f t="shared" si="10"/>
        <v>3.906099057656418E-3</v>
      </c>
      <c r="M40" s="20">
        <f t="shared" ref="M40:M77" si="12">I40+M39</f>
        <v>-1.2897902953358273E-3</v>
      </c>
    </row>
    <row r="41" spans="1:13" x14ac:dyDescent="0.25">
      <c r="A41" s="8">
        <v>38019</v>
      </c>
      <c r="B41" s="9">
        <v>2004.087</v>
      </c>
      <c r="C41">
        <f t="shared" si="0"/>
        <v>4780</v>
      </c>
      <c r="D41" s="10">
        <v>1.59</v>
      </c>
      <c r="E41" s="20">
        <f t="shared" si="1"/>
        <v>5.4112726358309026E-3</v>
      </c>
      <c r="F41" s="18">
        <f t="shared" si="2"/>
        <v>10.125305657326377</v>
      </c>
      <c r="G41" s="14">
        <f t="shared" si="3"/>
        <v>321.91849801445659</v>
      </c>
      <c r="H41" s="14">
        <f t="shared" si="5"/>
        <v>0.34399421256205187</v>
      </c>
      <c r="I41" s="19">
        <f t="shared" si="4"/>
        <v>1.0685754769724476E-3</v>
      </c>
      <c r="J41" s="14">
        <f t="shared" si="6"/>
        <v>1.6070980144565965</v>
      </c>
      <c r="K41" s="14">
        <f t="shared" si="11"/>
        <v>-7.084516507512717E-2</v>
      </c>
      <c r="L41" s="14">
        <f t="shared" si="10"/>
        <v>4.9746745346288656E-3</v>
      </c>
      <c r="M41" s="20">
        <f t="shared" si="12"/>
        <v>-2.2121481836337963E-4</v>
      </c>
    </row>
    <row r="42" spans="1:13" x14ac:dyDescent="0.25">
      <c r="A42" s="8">
        <v>38043</v>
      </c>
      <c r="B42" s="9">
        <v>2004.153</v>
      </c>
      <c r="C42">
        <f t="shared" si="0"/>
        <v>4804</v>
      </c>
      <c r="D42" s="10">
        <v>1.31</v>
      </c>
      <c r="E42" s="20">
        <f t="shared" si="1"/>
        <v>-4.4563421706842726E-3</v>
      </c>
      <c r="F42" s="18">
        <f t="shared" si="2"/>
        <v>10.120849315155693</v>
      </c>
      <c r="G42" s="14">
        <f t="shared" si="3"/>
        <v>321.63519530067464</v>
      </c>
      <c r="H42" s="14">
        <f t="shared" si="5"/>
        <v>-0.28330271378194993</v>
      </c>
      <c r="I42" s="19">
        <f t="shared" si="4"/>
        <v>-8.808200032869839E-4</v>
      </c>
      <c r="J42" s="14">
        <f t="shared" si="6"/>
        <v>1.3237953006746466</v>
      </c>
      <c r="K42" s="14">
        <f t="shared" si="11"/>
        <v>-0.3541478788570771</v>
      </c>
      <c r="L42" s="14">
        <f t="shared" si="10"/>
        <v>4.093854531341882E-3</v>
      </c>
      <c r="M42" s="20">
        <f t="shared" si="12"/>
        <v>-1.1020348216503636E-3</v>
      </c>
    </row>
    <row r="43" spans="1:13" s="25" customFormat="1" ht="12.75" x14ac:dyDescent="0.2">
      <c r="A43" s="23">
        <v>38044</v>
      </c>
      <c r="B43" s="24">
        <v>2004.1559999999999</v>
      </c>
      <c r="C43" s="25">
        <f t="shared" si="0"/>
        <v>4805</v>
      </c>
      <c r="D43" s="26">
        <v>1.34</v>
      </c>
      <c r="E43" s="27">
        <f t="shared" si="1"/>
        <v>4.774652325733152E-4</v>
      </c>
      <c r="F43" s="28">
        <f t="shared" si="2"/>
        <v>10.121326780388266</v>
      </c>
      <c r="G43" s="29">
        <f t="shared" si="3"/>
        <v>321.6655431975708</v>
      </c>
      <c r="H43" s="29">
        <f t="shared" si="5"/>
        <v>3.0347896896159909E-2</v>
      </c>
      <c r="I43" s="30">
        <f t="shared" si="4"/>
        <v>9.434612297755458E-5</v>
      </c>
      <c r="J43" s="29">
        <f t="shared" si="6"/>
        <v>1.3541431975708065</v>
      </c>
      <c r="K43" s="29">
        <f t="shared" si="11"/>
        <v>-0.32379998196091719</v>
      </c>
      <c r="L43" s="29">
        <f t="shared" si="10"/>
        <v>4.1882006543194367E-3</v>
      </c>
      <c r="M43" s="27">
        <f t="shared" si="12"/>
        <v>-1.0076886986728091E-3</v>
      </c>
    </row>
    <row r="44" spans="1:13" x14ac:dyDescent="0.25">
      <c r="A44" s="8">
        <v>38056</v>
      </c>
      <c r="B44" s="9">
        <v>2004.1880000000001</v>
      </c>
      <c r="C44">
        <f t="shared" si="0"/>
        <v>4817</v>
      </c>
      <c r="D44" s="10">
        <v>1.24</v>
      </c>
      <c r="E44" s="20">
        <f t="shared" si="1"/>
        <v>-1.591550775244384E-3</v>
      </c>
      <c r="F44" s="18">
        <f t="shared" si="2"/>
        <v>10.119735229613022</v>
      </c>
      <c r="G44" s="14">
        <f t="shared" si="3"/>
        <v>321.56438910885873</v>
      </c>
      <c r="H44" s="14">
        <f t="shared" si="5"/>
        <v>-0.10115408871206455</v>
      </c>
      <c r="I44" s="19">
        <f t="shared" si="4"/>
        <v>-3.1456869024704413E-4</v>
      </c>
      <c r="J44" s="14">
        <f t="shared" si="6"/>
        <v>1.2529891088587419</v>
      </c>
      <c r="K44" s="14">
        <f t="shared" si="11"/>
        <v>-0.42495407067298174</v>
      </c>
      <c r="L44" s="14">
        <f t="shared" si="10"/>
        <v>3.8736319640723924E-3</v>
      </c>
      <c r="M44" s="20">
        <f t="shared" si="12"/>
        <v>-1.3222573889198532E-3</v>
      </c>
    </row>
    <row r="45" spans="1:13" x14ac:dyDescent="0.25">
      <c r="A45" s="8">
        <v>38083</v>
      </c>
      <c r="B45" s="9">
        <v>2004.2619999999999</v>
      </c>
      <c r="C45">
        <f t="shared" si="0"/>
        <v>4844</v>
      </c>
      <c r="D45" s="10">
        <v>2.34</v>
      </c>
      <c r="E45" s="20">
        <f t="shared" si="1"/>
        <v>1.7507058527688208E-2</v>
      </c>
      <c r="F45" s="18">
        <f t="shared" si="2"/>
        <v>10.13724228814071</v>
      </c>
      <c r="G45" s="14">
        <f t="shared" si="3"/>
        <v>322.67795899459048</v>
      </c>
      <c r="H45" s="14">
        <f t="shared" si="5"/>
        <v>1.1135698857317493</v>
      </c>
      <c r="I45" s="19">
        <f t="shared" si="4"/>
        <v>3.4510255649361464E-3</v>
      </c>
      <c r="J45" s="14">
        <f t="shared" si="6"/>
        <v>2.3665589945904912</v>
      </c>
      <c r="K45" s="14">
        <f t="shared" si="11"/>
        <v>0.68861581505876757</v>
      </c>
      <c r="L45" s="14">
        <f t="shared" si="10"/>
        <v>7.3246575290085384E-3</v>
      </c>
      <c r="M45" s="20">
        <f t="shared" si="12"/>
        <v>2.1287681760162932E-3</v>
      </c>
    </row>
    <row r="46" spans="1:13" x14ac:dyDescent="0.25">
      <c r="A46" s="8">
        <v>38091</v>
      </c>
      <c r="B46" s="9">
        <v>2004.2840000000001</v>
      </c>
      <c r="C46">
        <f t="shared" si="0"/>
        <v>4852</v>
      </c>
      <c r="D46" s="10">
        <v>2.34</v>
      </c>
      <c r="E46" s="20">
        <f t="shared" si="1"/>
        <v>0</v>
      </c>
      <c r="F46" s="18">
        <f t="shared" si="2"/>
        <v>10.13724228814071</v>
      </c>
      <c r="G46" s="14">
        <f t="shared" si="3"/>
        <v>322.67795899459048</v>
      </c>
      <c r="H46" s="14">
        <f t="shared" si="5"/>
        <v>0</v>
      </c>
      <c r="I46" s="19">
        <f t="shared" si="4"/>
        <v>0</v>
      </c>
      <c r="J46" s="14">
        <f t="shared" si="6"/>
        <v>2.3665589945904912</v>
      </c>
      <c r="K46" s="14">
        <f t="shared" si="11"/>
        <v>0.68861581505876757</v>
      </c>
      <c r="L46" s="14">
        <f t="shared" si="10"/>
        <v>7.3246575290085384E-3</v>
      </c>
      <c r="M46" s="20">
        <f t="shared" si="12"/>
        <v>2.1287681760162932E-3</v>
      </c>
    </row>
    <row r="47" spans="1:13" x14ac:dyDescent="0.25">
      <c r="A47" s="8">
        <v>38098</v>
      </c>
      <c r="B47" s="9">
        <v>2004.3030000000001</v>
      </c>
      <c r="C47">
        <f t="shared" si="0"/>
        <v>4859</v>
      </c>
      <c r="D47" s="10">
        <v>2.34</v>
      </c>
      <c r="E47" s="20">
        <f t="shared" si="1"/>
        <v>0</v>
      </c>
      <c r="F47" s="18">
        <f t="shared" si="2"/>
        <v>10.13724228814071</v>
      </c>
      <c r="G47" s="14">
        <f t="shared" si="3"/>
        <v>322.67795899459048</v>
      </c>
      <c r="H47" s="14">
        <f t="shared" si="5"/>
        <v>0</v>
      </c>
      <c r="I47" s="19">
        <f t="shared" si="4"/>
        <v>0</v>
      </c>
      <c r="J47" s="14">
        <f t="shared" si="6"/>
        <v>2.3665589945904912</v>
      </c>
      <c r="K47" s="14">
        <f t="shared" si="11"/>
        <v>0.68861581505876757</v>
      </c>
      <c r="L47" s="14">
        <f t="shared" si="10"/>
        <v>7.3246575290085384E-3</v>
      </c>
      <c r="M47" s="20">
        <f t="shared" si="12"/>
        <v>2.1287681760162932E-3</v>
      </c>
    </row>
    <row r="48" spans="1:13" x14ac:dyDescent="0.25">
      <c r="A48" s="8">
        <v>38105</v>
      </c>
      <c r="B48" s="9">
        <v>2004.3219999999999</v>
      </c>
      <c r="C48">
        <f t="shared" si="0"/>
        <v>4866</v>
      </c>
      <c r="D48" s="10">
        <v>2.84</v>
      </c>
      <c r="E48" s="20">
        <f t="shared" si="1"/>
        <v>7.9577538762219142E-3</v>
      </c>
      <c r="F48" s="18">
        <f t="shared" si="2"/>
        <v>10.145200042016931</v>
      </c>
      <c r="G48" s="14">
        <f t="shared" si="3"/>
        <v>323.18476342257668</v>
      </c>
      <c r="H48" s="14">
        <f t="shared" si="5"/>
        <v>0.50680442798619652</v>
      </c>
      <c r="I48" s="19">
        <f t="shared" si="4"/>
        <v>1.5681569348104756E-3</v>
      </c>
      <c r="J48" s="14">
        <f t="shared" si="6"/>
        <v>2.8733634225766878</v>
      </c>
      <c r="K48" s="14">
        <f t="shared" si="11"/>
        <v>1.1954202430449641</v>
      </c>
      <c r="L48" s="14">
        <f t="shared" si="10"/>
        <v>8.8928144638190133E-3</v>
      </c>
      <c r="M48" s="20">
        <f t="shared" si="12"/>
        <v>3.696925110826769E-3</v>
      </c>
    </row>
    <row r="49" spans="1:13" x14ac:dyDescent="0.25">
      <c r="A49" s="8">
        <v>38111</v>
      </c>
      <c r="B49" s="9">
        <v>2004.3389999999999</v>
      </c>
      <c r="C49">
        <f t="shared" si="0"/>
        <v>4872</v>
      </c>
      <c r="D49" s="10">
        <v>3.64</v>
      </c>
      <c r="E49" s="20">
        <f t="shared" si="1"/>
        <v>1.2732406201955065E-2</v>
      </c>
      <c r="F49" s="18">
        <f t="shared" si="2"/>
        <v>10.157932448218887</v>
      </c>
      <c r="G49" s="14">
        <f t="shared" si="3"/>
        <v>323.99647769489542</v>
      </c>
      <c r="H49" s="14">
        <f t="shared" si="5"/>
        <v>0.81171427231873849</v>
      </c>
      <c r="I49" s="19">
        <f t="shared" si="4"/>
        <v>2.5053182000426637E-3</v>
      </c>
      <c r="J49" s="14">
        <f t="shared" si="6"/>
        <v>3.6850776948954262</v>
      </c>
      <c r="K49" s="14">
        <f t="shared" si="11"/>
        <v>2.0071345153637026</v>
      </c>
      <c r="L49" s="14">
        <f t="shared" si="10"/>
        <v>1.1398132663861677E-2</v>
      </c>
      <c r="M49" s="20">
        <f t="shared" si="12"/>
        <v>6.2022433108694323E-3</v>
      </c>
    </row>
    <row r="50" spans="1:13" x14ac:dyDescent="0.25">
      <c r="A50" s="8">
        <v>38119</v>
      </c>
      <c r="B50" s="9">
        <v>2004.3579999999999</v>
      </c>
      <c r="C50">
        <f t="shared" si="0"/>
        <v>4880</v>
      </c>
      <c r="D50" s="10">
        <v>5.24</v>
      </c>
      <c r="E50" s="20">
        <f t="shared" si="1"/>
        <v>2.5464812403910124E-2</v>
      </c>
      <c r="F50" s="18">
        <f t="shared" si="2"/>
        <v>10.183397260622797</v>
      </c>
      <c r="G50" s="14">
        <f t="shared" si="3"/>
        <v>325.62296047045209</v>
      </c>
      <c r="H50" s="14">
        <f t="shared" si="5"/>
        <v>1.6264827755566671</v>
      </c>
      <c r="I50" s="19">
        <f t="shared" si="4"/>
        <v>4.9949879861259311E-3</v>
      </c>
      <c r="J50" s="14">
        <f t="shared" si="6"/>
        <v>5.3115604704520933</v>
      </c>
      <c r="K50" s="14">
        <f t="shared" si="11"/>
        <v>3.6336172909203697</v>
      </c>
      <c r="L50" s="14">
        <f t="shared" si="10"/>
        <v>1.6393120649987609E-2</v>
      </c>
      <c r="M50" s="20">
        <f t="shared" si="12"/>
        <v>1.1197231296995364E-2</v>
      </c>
    </row>
    <row r="51" spans="1:13" x14ac:dyDescent="0.25">
      <c r="A51" s="8">
        <v>38126</v>
      </c>
      <c r="B51" s="9">
        <v>2004.38</v>
      </c>
      <c r="C51">
        <f t="shared" si="0"/>
        <v>4887</v>
      </c>
      <c r="D51" s="10">
        <v>5.74</v>
      </c>
      <c r="E51" s="20">
        <f t="shared" si="1"/>
        <v>7.9577538762219142E-3</v>
      </c>
      <c r="F51" s="18">
        <f t="shared" si="2"/>
        <v>10.191355014499019</v>
      </c>
      <c r="G51" s="14">
        <f t="shared" si="3"/>
        <v>326.13207147908048</v>
      </c>
      <c r="H51" s="14">
        <f t="shared" si="5"/>
        <v>0.50911100862839476</v>
      </c>
      <c r="I51" s="19">
        <f t="shared" si="4"/>
        <v>1.5610577834907946E-3</v>
      </c>
      <c r="J51" s="14">
        <f t="shared" si="6"/>
        <v>5.8206714790804881</v>
      </c>
      <c r="K51" s="14">
        <f t="shared" si="11"/>
        <v>4.1427282995487644</v>
      </c>
      <c r="L51" s="14">
        <f t="shared" si="10"/>
        <v>1.7954178433478404E-2</v>
      </c>
      <c r="M51" s="20">
        <f t="shared" si="12"/>
        <v>1.2758289080486158E-2</v>
      </c>
    </row>
    <row r="52" spans="1:13" x14ac:dyDescent="0.25">
      <c r="A52" s="8">
        <v>38134</v>
      </c>
      <c r="B52" s="9">
        <v>2004.402</v>
      </c>
      <c r="C52">
        <f t="shared" si="0"/>
        <v>4895</v>
      </c>
      <c r="D52" s="10">
        <v>6.34</v>
      </c>
      <c r="E52" s="20">
        <f t="shared" si="1"/>
        <v>9.5493046514662904E-3</v>
      </c>
      <c r="F52" s="18">
        <f t="shared" si="2"/>
        <v>10.200904319150485</v>
      </c>
      <c r="G52" s="14">
        <f t="shared" si="3"/>
        <v>326.74352963537387</v>
      </c>
      <c r="H52" s="14">
        <f t="shared" si="5"/>
        <v>0.61145815629339495</v>
      </c>
      <c r="I52" s="19">
        <f t="shared" si="4"/>
        <v>1.8713703588124468E-3</v>
      </c>
      <c r="J52" s="14">
        <f t="shared" si="6"/>
        <v>6.432129635373883</v>
      </c>
      <c r="K52" s="14">
        <f t="shared" si="11"/>
        <v>4.7541864558421594</v>
      </c>
      <c r="L52" s="14">
        <f t="shared" si="11"/>
        <v>1.9825548792290849E-2</v>
      </c>
      <c r="M52" s="20">
        <f t="shared" si="12"/>
        <v>1.4629659439298606E-2</v>
      </c>
    </row>
    <row r="53" spans="1:13" x14ac:dyDescent="0.25">
      <c r="A53" s="8">
        <v>38141</v>
      </c>
      <c r="B53" s="9">
        <v>2004.421</v>
      </c>
      <c r="C53">
        <f t="shared" si="0"/>
        <v>4902</v>
      </c>
      <c r="D53" s="10">
        <v>6.44</v>
      </c>
      <c r="E53" s="20">
        <f t="shared" si="1"/>
        <v>1.5915507752443912E-3</v>
      </c>
      <c r="F53" s="18">
        <f t="shared" si="2"/>
        <v>10.202495869925729</v>
      </c>
      <c r="G53" s="14">
        <f t="shared" si="3"/>
        <v>326.84549500417393</v>
      </c>
      <c r="H53" s="14">
        <f t="shared" si="5"/>
        <v>0.10196536880005169</v>
      </c>
      <c r="I53" s="19">
        <f t="shared" si="4"/>
        <v>3.1196810223359375E-4</v>
      </c>
      <c r="J53" s="14">
        <f t="shared" si="6"/>
        <v>6.5340950041739347</v>
      </c>
      <c r="K53" s="14">
        <f t="shared" si="11"/>
        <v>4.8561518246422111</v>
      </c>
      <c r="L53" s="14">
        <f t="shared" si="11"/>
        <v>2.0137516894524442E-2</v>
      </c>
      <c r="M53" s="20">
        <f t="shared" si="12"/>
        <v>1.49416275415322E-2</v>
      </c>
    </row>
    <row r="54" spans="1:13" x14ac:dyDescent="0.25">
      <c r="A54" s="8">
        <v>38147</v>
      </c>
      <c r="B54" s="9">
        <v>2004.4369999999999</v>
      </c>
      <c r="C54">
        <f t="shared" si="0"/>
        <v>4908</v>
      </c>
      <c r="D54" s="10">
        <v>6.54</v>
      </c>
      <c r="E54" s="20">
        <f t="shared" si="1"/>
        <v>1.5915507752443769E-3</v>
      </c>
      <c r="F54" s="18">
        <f t="shared" si="2"/>
        <v>10.204087420700972</v>
      </c>
      <c r="G54" s="14">
        <f t="shared" si="3"/>
        <v>326.9474762804266</v>
      </c>
      <c r="H54" s="14">
        <f t="shared" si="5"/>
        <v>0.10198127625267261</v>
      </c>
      <c r="I54" s="19">
        <f t="shared" si="4"/>
        <v>3.1191944777454744E-4</v>
      </c>
      <c r="J54" s="14">
        <f t="shared" si="6"/>
        <v>6.6360762804266074</v>
      </c>
      <c r="K54" s="14">
        <f t="shared" si="11"/>
        <v>4.9581331008948837</v>
      </c>
      <c r="L54" s="14">
        <f t="shared" si="11"/>
        <v>2.0449436342298989E-2</v>
      </c>
      <c r="M54" s="20">
        <f t="shared" si="12"/>
        <v>1.5253546989306747E-2</v>
      </c>
    </row>
    <row r="55" spans="1:13" x14ac:dyDescent="0.25">
      <c r="A55" s="8">
        <v>38153</v>
      </c>
      <c r="B55" s="9">
        <v>2004.454</v>
      </c>
      <c r="C55">
        <f t="shared" si="0"/>
        <v>4914</v>
      </c>
      <c r="D55" s="10">
        <v>6.54</v>
      </c>
      <c r="E55" s="20">
        <f t="shared" si="1"/>
        <v>0</v>
      </c>
      <c r="F55" s="18">
        <f t="shared" si="2"/>
        <v>10.204087420700972</v>
      </c>
      <c r="G55" s="14">
        <f t="shared" si="3"/>
        <v>326.9474762804266</v>
      </c>
      <c r="H55" s="14">
        <f t="shared" si="5"/>
        <v>0</v>
      </c>
      <c r="I55" s="19">
        <f t="shared" si="4"/>
        <v>0</v>
      </c>
      <c r="J55" s="14">
        <f t="shared" si="6"/>
        <v>6.6360762804266074</v>
      </c>
      <c r="K55" s="14">
        <f t="shared" si="11"/>
        <v>4.9581331008948837</v>
      </c>
      <c r="L55" s="14">
        <f t="shared" si="11"/>
        <v>2.0449436342298989E-2</v>
      </c>
      <c r="M55" s="20">
        <f t="shared" si="12"/>
        <v>1.5253546989306747E-2</v>
      </c>
    </row>
    <row r="56" spans="1:13" x14ac:dyDescent="0.25">
      <c r="A56" s="8">
        <v>38162</v>
      </c>
      <c r="B56" s="9">
        <v>2004.4780000000001</v>
      </c>
      <c r="C56">
        <f t="shared" si="0"/>
        <v>4923</v>
      </c>
      <c r="D56" s="10">
        <v>6.54</v>
      </c>
      <c r="E56" s="20">
        <f t="shared" si="1"/>
        <v>0</v>
      </c>
      <c r="F56" s="18">
        <f t="shared" si="2"/>
        <v>10.204087420700972</v>
      </c>
      <c r="G56" s="14">
        <f t="shared" si="3"/>
        <v>326.9474762804266</v>
      </c>
      <c r="H56" s="14">
        <f t="shared" si="5"/>
        <v>0</v>
      </c>
      <c r="I56" s="19">
        <f t="shared" si="4"/>
        <v>0</v>
      </c>
      <c r="J56" s="14">
        <f t="shared" si="6"/>
        <v>6.6360762804266074</v>
      </c>
      <c r="K56" s="14">
        <f t="shared" ref="K56:L71" si="13">H56+K55</f>
        <v>4.9581331008948837</v>
      </c>
      <c r="L56" s="14">
        <f t="shared" si="13"/>
        <v>2.0449436342298989E-2</v>
      </c>
      <c r="M56" s="20">
        <f t="shared" si="12"/>
        <v>1.5253546989306747E-2</v>
      </c>
    </row>
    <row r="57" spans="1:13" x14ac:dyDescent="0.25">
      <c r="A57" s="8">
        <v>38169</v>
      </c>
      <c r="B57" s="9">
        <v>2004.4970000000001</v>
      </c>
      <c r="C57">
        <f t="shared" si="0"/>
        <v>4930</v>
      </c>
      <c r="D57" s="10">
        <v>7.04</v>
      </c>
      <c r="E57" s="20">
        <f t="shared" si="1"/>
        <v>7.9577538762219142E-3</v>
      </c>
      <c r="F57" s="18">
        <f t="shared" si="2"/>
        <v>10.212045174577193</v>
      </c>
      <c r="G57" s="14">
        <f t="shared" si="3"/>
        <v>327.45762127348081</v>
      </c>
      <c r="H57" s="14">
        <f t="shared" si="5"/>
        <v>0.51014499305421168</v>
      </c>
      <c r="I57" s="19">
        <f t="shared" si="4"/>
        <v>1.5578962281294927E-3</v>
      </c>
      <c r="J57" s="14">
        <f t="shared" si="6"/>
        <v>7.146221273480819</v>
      </c>
      <c r="K57" s="14">
        <f t="shared" si="13"/>
        <v>5.4682780939490954</v>
      </c>
      <c r="L57" s="14">
        <f t="shared" si="13"/>
        <v>2.2007332570428483E-2</v>
      </c>
      <c r="M57" s="20">
        <f t="shared" si="12"/>
        <v>1.6811443217436241E-2</v>
      </c>
    </row>
    <row r="58" spans="1:13" x14ac:dyDescent="0.25">
      <c r="A58" s="8">
        <v>38174</v>
      </c>
      <c r="B58" s="9">
        <v>2004.511</v>
      </c>
      <c r="C58">
        <f t="shared" si="0"/>
        <v>4935</v>
      </c>
      <c r="D58" s="10">
        <v>7.04</v>
      </c>
      <c r="E58" s="20">
        <f t="shared" si="1"/>
        <v>0</v>
      </c>
      <c r="F58" s="18">
        <f t="shared" si="2"/>
        <v>10.212045174577193</v>
      </c>
      <c r="G58" s="14">
        <f t="shared" si="3"/>
        <v>327.45762127348081</v>
      </c>
      <c r="H58" s="14">
        <f t="shared" si="5"/>
        <v>0</v>
      </c>
      <c r="I58" s="19">
        <f t="shared" si="4"/>
        <v>0</v>
      </c>
      <c r="J58" s="14">
        <f t="shared" si="6"/>
        <v>7.146221273480819</v>
      </c>
      <c r="K58" s="14">
        <f t="shared" si="13"/>
        <v>5.4682780939490954</v>
      </c>
      <c r="L58" s="14">
        <f t="shared" si="13"/>
        <v>2.2007332570428483E-2</v>
      </c>
      <c r="M58" s="20">
        <f t="shared" si="12"/>
        <v>1.6811443217436241E-2</v>
      </c>
    </row>
    <row r="59" spans="1:13" x14ac:dyDescent="0.25">
      <c r="A59" s="8">
        <v>38182</v>
      </c>
      <c r="B59" s="9">
        <v>2004.5329999999999</v>
      </c>
      <c r="C59">
        <f t="shared" si="0"/>
        <v>4943</v>
      </c>
      <c r="D59" s="10">
        <v>8.0399999999999991</v>
      </c>
      <c r="E59" s="20">
        <f t="shared" si="1"/>
        <v>1.5915507752443811E-2</v>
      </c>
      <c r="F59" s="18">
        <f t="shared" si="2"/>
        <v>10.227960682329638</v>
      </c>
      <c r="G59" s="14">
        <f t="shared" si="3"/>
        <v>328.47910431854217</v>
      </c>
      <c r="H59" s="14">
        <f t="shared" si="5"/>
        <v>1.021483045061359</v>
      </c>
      <c r="I59" s="19">
        <f t="shared" si="4"/>
        <v>3.1097352362200099E-3</v>
      </c>
      <c r="J59" s="14">
        <f t="shared" si="6"/>
        <v>8.167704318542178</v>
      </c>
      <c r="K59" s="14">
        <f t="shared" si="13"/>
        <v>6.4897611390104544</v>
      </c>
      <c r="L59" s="14">
        <f t="shared" si="13"/>
        <v>2.5117067806648494E-2</v>
      </c>
      <c r="M59" s="20">
        <f t="shared" si="12"/>
        <v>1.9921178453656253E-2</v>
      </c>
    </row>
    <row r="60" spans="1:13" x14ac:dyDescent="0.25">
      <c r="A60" s="8">
        <v>38189</v>
      </c>
      <c r="B60" s="9">
        <v>2004.5519999999999</v>
      </c>
      <c r="C60">
        <f t="shared" si="0"/>
        <v>4950</v>
      </c>
      <c r="D60" s="10">
        <v>6.99</v>
      </c>
      <c r="E60" s="20">
        <f t="shared" si="1"/>
        <v>-1.6711283140066001E-2</v>
      </c>
      <c r="F60" s="18">
        <f t="shared" si="2"/>
        <v>10.211249399189571</v>
      </c>
      <c r="G60" s="14">
        <f t="shared" si="3"/>
        <v>327.40658887829107</v>
      </c>
      <c r="H60" s="14">
        <f t="shared" si="5"/>
        <v>-1.0725154402510952</v>
      </c>
      <c r="I60" s="19">
        <f t="shared" si="4"/>
        <v>-3.2757906428382486E-3</v>
      </c>
      <c r="J60" s="14">
        <f t="shared" si="6"/>
        <v>7.0951888782910828</v>
      </c>
      <c r="K60" s="14">
        <f t="shared" si="13"/>
        <v>5.4172456987593591</v>
      </c>
      <c r="L60" s="14">
        <f t="shared" si="13"/>
        <v>2.1841277163810246E-2</v>
      </c>
      <c r="M60" s="20">
        <f t="shared" si="12"/>
        <v>1.6645387810818004E-2</v>
      </c>
    </row>
    <row r="61" spans="1:13" x14ac:dyDescent="0.25">
      <c r="A61" s="8">
        <v>38197</v>
      </c>
      <c r="B61" s="9">
        <v>2004.5740000000001</v>
      </c>
      <c r="C61">
        <f t="shared" si="0"/>
        <v>4958</v>
      </c>
      <c r="D61" s="10">
        <v>7.84</v>
      </c>
      <c r="E61" s="20">
        <f t="shared" si="1"/>
        <v>1.3528181589577247E-2</v>
      </c>
      <c r="F61" s="18">
        <f t="shared" si="2"/>
        <v>10.224777580779149</v>
      </c>
      <c r="G61" s="14">
        <f t="shared" si="3"/>
        <v>328.27468044990826</v>
      </c>
      <c r="H61" s="14">
        <f t="shared" si="5"/>
        <v>0.86809157161718531</v>
      </c>
      <c r="I61" s="19">
        <f t="shared" si="4"/>
        <v>2.6444061126720013E-3</v>
      </c>
      <c r="J61" s="14">
        <f t="shared" si="6"/>
        <v>7.9632804499082681</v>
      </c>
      <c r="K61" s="14">
        <f t="shared" si="13"/>
        <v>6.2853372703765444</v>
      </c>
      <c r="L61" s="14">
        <f t="shared" si="13"/>
        <v>2.4485683276482248E-2</v>
      </c>
      <c r="M61" s="20">
        <f t="shared" si="12"/>
        <v>1.9289793923490006E-2</v>
      </c>
    </row>
    <row r="62" spans="1:13" x14ac:dyDescent="0.25">
      <c r="A62" s="8">
        <v>38203</v>
      </c>
      <c r="B62" s="9">
        <v>2004.59</v>
      </c>
      <c r="C62">
        <f t="shared" si="0"/>
        <v>4964</v>
      </c>
      <c r="D62" s="10">
        <v>7.99</v>
      </c>
      <c r="E62" s="20">
        <f t="shared" si="1"/>
        <v>2.3873261628665795E-3</v>
      </c>
      <c r="F62" s="18">
        <f t="shared" si="2"/>
        <v>10.227164906942015</v>
      </c>
      <c r="G62" s="14">
        <f t="shared" si="3"/>
        <v>328.42799238608887</v>
      </c>
      <c r="H62" s="14">
        <f t="shared" si="5"/>
        <v>0.15331193618061434</v>
      </c>
      <c r="I62" s="19">
        <f t="shared" si="4"/>
        <v>4.6680532638760584E-4</v>
      </c>
      <c r="J62" s="14">
        <f t="shared" si="6"/>
        <v>8.1165923860888824</v>
      </c>
      <c r="K62" s="14">
        <f t="shared" si="13"/>
        <v>6.4386492065571588</v>
      </c>
      <c r="L62" s="14">
        <f t="shared" si="13"/>
        <v>2.4952488602869853E-2</v>
      </c>
      <c r="M62" s="20">
        <f t="shared" si="12"/>
        <v>1.9756599249877611E-2</v>
      </c>
    </row>
    <row r="63" spans="1:13" x14ac:dyDescent="0.25">
      <c r="A63" s="8">
        <v>38209</v>
      </c>
      <c r="B63" s="9">
        <v>2004.607</v>
      </c>
      <c r="C63">
        <f t="shared" si="0"/>
        <v>4970</v>
      </c>
      <c r="D63" s="10">
        <v>8.24</v>
      </c>
      <c r="E63" s="20">
        <f t="shared" si="1"/>
        <v>3.9788769381109571E-3</v>
      </c>
      <c r="F63" s="18">
        <f t="shared" si="2"/>
        <v>10.231143783880126</v>
      </c>
      <c r="G63" s="14">
        <f t="shared" si="3"/>
        <v>328.6835918169869</v>
      </c>
      <c r="H63" s="14">
        <f t="shared" si="5"/>
        <v>0.25559943089803028</v>
      </c>
      <c r="I63" s="19">
        <f t="shared" si="4"/>
        <v>7.7764584926511829E-4</v>
      </c>
      <c r="J63" s="14">
        <f t="shared" si="6"/>
        <v>8.3721918169869127</v>
      </c>
      <c r="K63" s="14">
        <f t="shared" si="13"/>
        <v>6.6942486374551891</v>
      </c>
      <c r="L63" s="14">
        <f t="shared" si="13"/>
        <v>2.573013445213497E-2</v>
      </c>
      <c r="M63" s="20">
        <f t="shared" si="12"/>
        <v>2.0534245099142728E-2</v>
      </c>
    </row>
    <row r="64" spans="1:13" x14ac:dyDescent="0.25">
      <c r="A64" s="8">
        <v>38219</v>
      </c>
      <c r="B64" s="9">
        <v>2004.634</v>
      </c>
      <c r="C64">
        <f t="shared" si="0"/>
        <v>4980</v>
      </c>
      <c r="D64" s="10">
        <v>9.44</v>
      </c>
      <c r="E64" s="20">
        <f t="shared" si="1"/>
        <v>1.9098609302932581E-2</v>
      </c>
      <c r="F64" s="18">
        <f t="shared" si="2"/>
        <v>10.25024239318306</v>
      </c>
      <c r="G64" s="14">
        <f t="shared" si="3"/>
        <v>329.91185303368252</v>
      </c>
      <c r="H64" s="14">
        <f t="shared" si="5"/>
        <v>1.2282612166956142</v>
      </c>
      <c r="I64" s="19">
        <f t="shared" si="4"/>
        <v>3.7229981445080552E-3</v>
      </c>
      <c r="J64" s="14">
        <f t="shared" si="6"/>
        <v>9.6004530336825269</v>
      </c>
      <c r="K64" s="14">
        <f t="shared" si="13"/>
        <v>7.9225098541508032</v>
      </c>
      <c r="L64" s="14">
        <f t="shared" si="13"/>
        <v>2.9453132596643027E-2</v>
      </c>
      <c r="M64" s="20">
        <f t="shared" si="12"/>
        <v>2.4257243243650785E-2</v>
      </c>
    </row>
    <row r="65" spans="1:13" x14ac:dyDescent="0.25">
      <c r="A65" s="8">
        <v>38226</v>
      </c>
      <c r="B65" s="9">
        <v>2004.653</v>
      </c>
      <c r="C65">
        <f t="shared" si="0"/>
        <v>4987</v>
      </c>
      <c r="D65" s="10">
        <v>9.59</v>
      </c>
      <c r="E65" s="20">
        <f t="shared" si="1"/>
        <v>2.3873261628665795E-3</v>
      </c>
      <c r="F65" s="18">
        <f t="shared" si="2"/>
        <v>10.252629719345926</v>
      </c>
      <c r="G65" s="14">
        <f t="shared" si="3"/>
        <v>330.06554674872808</v>
      </c>
      <c r="H65" s="14">
        <f t="shared" si="5"/>
        <v>0.15369371504556284</v>
      </c>
      <c r="I65" s="19">
        <f t="shared" si="4"/>
        <v>4.6564604079251754E-4</v>
      </c>
      <c r="J65" s="14">
        <f t="shared" si="6"/>
        <v>9.7541467487280897</v>
      </c>
      <c r="K65" s="14">
        <f t="shared" si="13"/>
        <v>8.0762035691963661</v>
      </c>
      <c r="L65" s="14">
        <f t="shared" si="13"/>
        <v>2.9918778637435545E-2</v>
      </c>
      <c r="M65" s="20">
        <f t="shared" si="12"/>
        <v>2.4722889284443304E-2</v>
      </c>
    </row>
    <row r="66" spans="1:13" x14ac:dyDescent="0.25">
      <c r="A66" s="8">
        <v>38237</v>
      </c>
      <c r="B66" s="9">
        <v>2004.683</v>
      </c>
      <c r="C66">
        <f t="shared" ref="C66:C129" si="14">A66-33239</f>
        <v>4998</v>
      </c>
      <c r="D66" s="10">
        <v>9.5399999999999991</v>
      </c>
      <c r="E66" s="20">
        <f t="shared" si="1"/>
        <v>-7.9577538762220265E-4</v>
      </c>
      <c r="F66" s="18">
        <f t="shared" si="2"/>
        <v>10.251833943958303</v>
      </c>
      <c r="G66" s="14">
        <f t="shared" si="3"/>
        <v>330.01431153351638</v>
      </c>
      <c r="H66" s="14">
        <f t="shared" si="5"/>
        <v>-5.1235215211704599E-2</v>
      </c>
      <c r="I66" s="19">
        <f t="shared" si="4"/>
        <v>-1.5525149492342889E-4</v>
      </c>
      <c r="J66" s="14">
        <f t="shared" si="6"/>
        <v>9.7029115335163851</v>
      </c>
      <c r="K66" s="14">
        <f t="shared" si="13"/>
        <v>8.0249683539846615</v>
      </c>
      <c r="L66" s="14">
        <f t="shared" si="13"/>
        <v>2.9763527142512118E-2</v>
      </c>
      <c r="M66" s="20">
        <f t="shared" si="12"/>
        <v>2.4567637789519876E-2</v>
      </c>
    </row>
    <row r="67" spans="1:13" x14ac:dyDescent="0.25">
      <c r="A67" s="8">
        <v>38244</v>
      </c>
      <c r="B67" s="9">
        <v>2004.702</v>
      </c>
      <c r="C67">
        <f t="shared" si="14"/>
        <v>5005</v>
      </c>
      <c r="D67" s="10">
        <v>9.44</v>
      </c>
      <c r="E67" s="20">
        <f t="shared" ref="E67:E130" si="15">((D67-D66)/10)/(2*3.14159)</f>
        <v>-1.5915507752443769E-3</v>
      </c>
      <c r="F67" s="18">
        <f t="shared" ref="F67:F130" si="16">E67+F66</f>
        <v>10.25024239318306</v>
      </c>
      <c r="G67" s="14">
        <f t="shared" ref="G67:G130" si="17">3.14*(F67^2)</f>
        <v>329.91185303368252</v>
      </c>
      <c r="H67" s="14">
        <f t="shared" si="5"/>
        <v>-0.10245849983385824</v>
      </c>
      <c r="I67" s="19">
        <f t="shared" ref="I67:I130" si="18">H67/G67</f>
        <v>-3.1056325770568083E-4</v>
      </c>
      <c r="J67" s="14">
        <f t="shared" si="6"/>
        <v>9.6004530336825269</v>
      </c>
      <c r="K67" s="14">
        <f t="shared" si="13"/>
        <v>7.9225098541508032</v>
      </c>
      <c r="L67" s="14">
        <f t="shared" si="13"/>
        <v>2.9452963884806439E-2</v>
      </c>
      <c r="M67" s="20">
        <f t="shared" si="12"/>
        <v>2.4257074531814197E-2</v>
      </c>
    </row>
    <row r="68" spans="1:13" x14ac:dyDescent="0.25">
      <c r="A68" s="8">
        <v>38252</v>
      </c>
      <c r="B68" s="9">
        <v>2004.7239999999999</v>
      </c>
      <c r="C68">
        <f t="shared" si="14"/>
        <v>5013</v>
      </c>
      <c r="D68" s="10">
        <v>9.94</v>
      </c>
      <c r="E68" s="20">
        <f t="shared" si="15"/>
        <v>7.9577538762219142E-3</v>
      </c>
      <c r="F68" s="18">
        <f t="shared" si="16"/>
        <v>10.258200147059281</v>
      </c>
      <c r="G68" s="14">
        <f t="shared" si="17"/>
        <v>330.42430460737893</v>
      </c>
      <c r="H68" s="14">
        <f t="shared" ref="H68:H131" si="19">G68-G67</f>
        <v>0.51245157369640992</v>
      </c>
      <c r="I68" s="19">
        <f t="shared" si="18"/>
        <v>1.5508894671211362E-3</v>
      </c>
      <c r="J68" s="14">
        <f t="shared" ref="J68:J131" si="20">H68+J67</f>
        <v>10.112904607378937</v>
      </c>
      <c r="K68" s="14">
        <f t="shared" si="13"/>
        <v>8.4349614278472131</v>
      </c>
      <c r="L68" s="14">
        <f t="shared" si="13"/>
        <v>3.1003853351927575E-2</v>
      </c>
      <c r="M68" s="20">
        <f t="shared" si="12"/>
        <v>2.5807963998935333E-2</v>
      </c>
    </row>
    <row r="69" spans="1:13" x14ac:dyDescent="0.25">
      <c r="A69" s="8">
        <v>38258</v>
      </c>
      <c r="B69" s="9">
        <v>2004.74</v>
      </c>
      <c r="C69">
        <f t="shared" si="14"/>
        <v>5019</v>
      </c>
      <c r="D69" s="10">
        <v>9.94</v>
      </c>
      <c r="E69" s="20">
        <f t="shared" si="15"/>
        <v>0</v>
      </c>
      <c r="F69" s="18">
        <f t="shared" si="16"/>
        <v>10.258200147059281</v>
      </c>
      <c r="G69" s="14">
        <f t="shared" si="17"/>
        <v>330.42430460737893</v>
      </c>
      <c r="H69" s="14">
        <f t="shared" si="19"/>
        <v>0</v>
      </c>
      <c r="I69" s="19">
        <f t="shared" si="18"/>
        <v>0</v>
      </c>
      <c r="J69" s="14">
        <f t="shared" si="20"/>
        <v>10.112904607378937</v>
      </c>
      <c r="K69" s="14">
        <f t="shared" si="13"/>
        <v>8.4349614278472131</v>
      </c>
      <c r="L69" s="14">
        <f t="shared" si="13"/>
        <v>3.1003853351927575E-2</v>
      </c>
      <c r="M69" s="20">
        <f t="shared" si="12"/>
        <v>2.5807963998935333E-2</v>
      </c>
    </row>
    <row r="70" spans="1:13" x14ac:dyDescent="0.25">
      <c r="A70" s="8">
        <v>38266</v>
      </c>
      <c r="B70" s="9">
        <v>2004.7619999999999</v>
      </c>
      <c r="C70">
        <f t="shared" si="14"/>
        <v>5027</v>
      </c>
      <c r="D70" s="10">
        <v>10.34</v>
      </c>
      <c r="E70" s="20">
        <f t="shared" si="15"/>
        <v>6.3662031009775362E-3</v>
      </c>
      <c r="F70" s="18">
        <f t="shared" si="16"/>
        <v>10.264566350160258</v>
      </c>
      <c r="G70" s="14">
        <f t="shared" si="17"/>
        <v>330.83455220048484</v>
      </c>
      <c r="H70" s="14">
        <f t="shared" si="19"/>
        <v>0.41024759310590753</v>
      </c>
      <c r="I70" s="19">
        <f t="shared" si="18"/>
        <v>1.2400385339959854E-3</v>
      </c>
      <c r="J70" s="14">
        <f t="shared" si="20"/>
        <v>10.523152200484844</v>
      </c>
      <c r="K70" s="14">
        <f t="shared" si="13"/>
        <v>8.8452090209531207</v>
      </c>
      <c r="L70" s="14">
        <f t="shared" si="13"/>
        <v>3.224389188592356E-2</v>
      </c>
      <c r="M70" s="20">
        <f t="shared" si="12"/>
        <v>2.7048002532931319E-2</v>
      </c>
    </row>
    <row r="71" spans="1:13" x14ac:dyDescent="0.25">
      <c r="A71" s="8">
        <v>38273</v>
      </c>
      <c r="B71" s="9">
        <v>2004.7809999999999</v>
      </c>
      <c r="C71">
        <f t="shared" si="14"/>
        <v>5034</v>
      </c>
      <c r="D71" s="10">
        <v>10.84</v>
      </c>
      <c r="E71" s="20">
        <f t="shared" si="15"/>
        <v>7.9577538762219142E-3</v>
      </c>
      <c r="F71" s="18">
        <f t="shared" si="16"/>
        <v>10.27252410403648</v>
      </c>
      <c r="G71" s="14">
        <f t="shared" si="17"/>
        <v>331.34771960955294</v>
      </c>
      <c r="H71" s="14">
        <f t="shared" si="19"/>
        <v>0.5131674090681031</v>
      </c>
      <c r="I71" s="19">
        <f t="shared" si="18"/>
        <v>1.548727752443262E-3</v>
      </c>
      <c r="J71" s="14">
        <f t="shared" si="20"/>
        <v>11.036319609552947</v>
      </c>
      <c r="K71" s="14">
        <f t="shared" si="13"/>
        <v>9.3583764300212238</v>
      </c>
      <c r="L71" s="14">
        <f t="shared" si="13"/>
        <v>3.3792619638366821E-2</v>
      </c>
      <c r="M71" s="20">
        <f t="shared" si="12"/>
        <v>2.8596730285374579E-2</v>
      </c>
    </row>
    <row r="72" spans="1:13" x14ac:dyDescent="0.25">
      <c r="A72" s="8">
        <v>38279</v>
      </c>
      <c r="B72" s="9">
        <v>2004.798</v>
      </c>
      <c r="C72">
        <f t="shared" si="14"/>
        <v>5040</v>
      </c>
      <c r="D72" s="10">
        <v>10.94</v>
      </c>
      <c r="E72" s="20">
        <f t="shared" si="15"/>
        <v>1.5915507752443769E-3</v>
      </c>
      <c r="F72" s="18">
        <f t="shared" si="16"/>
        <v>10.274115654811723</v>
      </c>
      <c r="G72" s="14">
        <f t="shared" si="17"/>
        <v>331.45040081372463</v>
      </c>
      <c r="H72" s="14">
        <f t="shared" si="19"/>
        <v>0.10268120417168802</v>
      </c>
      <c r="I72" s="19">
        <f t="shared" si="18"/>
        <v>3.0979357369790883E-4</v>
      </c>
      <c r="J72" s="14">
        <f t="shared" si="20"/>
        <v>11.139000813724635</v>
      </c>
      <c r="K72" s="14">
        <f t="shared" ref="K72:L87" si="21">H72+K71</f>
        <v>9.4610576341929118</v>
      </c>
      <c r="L72" s="14">
        <f t="shared" si="21"/>
        <v>3.4102413212064732E-2</v>
      </c>
      <c r="M72" s="20">
        <f t="shared" si="12"/>
        <v>2.8906523859072487E-2</v>
      </c>
    </row>
    <row r="73" spans="1:13" x14ac:dyDescent="0.25">
      <c r="A73" s="8">
        <v>38286</v>
      </c>
      <c r="B73" s="9">
        <v>2004.817</v>
      </c>
      <c r="C73">
        <f t="shared" si="14"/>
        <v>5047</v>
      </c>
      <c r="D73" s="10">
        <v>10.94</v>
      </c>
      <c r="E73" s="20">
        <f t="shared" si="15"/>
        <v>0</v>
      </c>
      <c r="F73" s="18">
        <f t="shared" si="16"/>
        <v>10.274115654811723</v>
      </c>
      <c r="G73" s="14">
        <f t="shared" si="17"/>
        <v>331.45040081372463</v>
      </c>
      <c r="H73" s="14">
        <f t="shared" si="19"/>
        <v>0</v>
      </c>
      <c r="I73" s="19">
        <f t="shared" si="18"/>
        <v>0</v>
      </c>
      <c r="J73" s="14">
        <f t="shared" si="20"/>
        <v>11.139000813724635</v>
      </c>
      <c r="K73" s="14">
        <f t="shared" si="21"/>
        <v>9.4610576341929118</v>
      </c>
      <c r="L73" s="14">
        <f t="shared" si="21"/>
        <v>3.4102413212064732E-2</v>
      </c>
      <c r="M73" s="20">
        <f t="shared" si="12"/>
        <v>2.8906523859072487E-2</v>
      </c>
    </row>
    <row r="74" spans="1:13" x14ac:dyDescent="0.25">
      <c r="A74" s="8">
        <v>38300</v>
      </c>
      <c r="B74" s="9">
        <v>2004.855</v>
      </c>
      <c r="C74">
        <f t="shared" si="14"/>
        <v>5061</v>
      </c>
      <c r="D74" s="10">
        <v>11.04</v>
      </c>
      <c r="E74" s="20">
        <f t="shared" si="15"/>
        <v>1.5915507752443769E-3</v>
      </c>
      <c r="F74" s="18">
        <f t="shared" si="16"/>
        <v>10.275707205586967</v>
      </c>
      <c r="G74" s="14">
        <f t="shared" si="17"/>
        <v>331.55309792534905</v>
      </c>
      <c r="H74" s="14">
        <f t="shared" si="19"/>
        <v>0.10269711162442263</v>
      </c>
      <c r="I74" s="19">
        <f t="shared" si="18"/>
        <v>3.0974559510086507E-4</v>
      </c>
      <c r="J74" s="14">
        <f t="shared" si="20"/>
        <v>11.241697925349058</v>
      </c>
      <c r="K74" s="14">
        <f t="shared" si="21"/>
        <v>9.5637547458173344</v>
      </c>
      <c r="L74" s="14">
        <f t="shared" si="21"/>
        <v>3.4412158807165596E-2</v>
      </c>
      <c r="M74" s="20">
        <f t="shared" si="12"/>
        <v>2.9216269454173351E-2</v>
      </c>
    </row>
    <row r="75" spans="1:13" x14ac:dyDescent="0.25">
      <c r="A75" s="8">
        <v>38314</v>
      </c>
      <c r="B75" s="9">
        <v>2004.893</v>
      </c>
      <c r="C75">
        <f t="shared" si="14"/>
        <v>5075</v>
      </c>
      <c r="D75" s="10">
        <v>11.24</v>
      </c>
      <c r="E75" s="20">
        <f t="shared" si="15"/>
        <v>3.1831015504887824E-3</v>
      </c>
      <c r="F75" s="18">
        <f t="shared" si="16"/>
        <v>10.278890307137456</v>
      </c>
      <c r="G75" s="14">
        <f t="shared" si="17"/>
        <v>331.75853987095604</v>
      </c>
      <c r="H75" s="14">
        <f t="shared" si="19"/>
        <v>0.20544194560699225</v>
      </c>
      <c r="I75" s="19">
        <f t="shared" si="18"/>
        <v>6.1925141606574135E-4</v>
      </c>
      <c r="J75" s="14">
        <f t="shared" si="20"/>
        <v>11.44713987095605</v>
      </c>
      <c r="K75" s="14">
        <f t="shared" si="21"/>
        <v>9.7691966914243267</v>
      </c>
      <c r="L75" s="14">
        <f t="shared" si="21"/>
        <v>3.5031410223231335E-2</v>
      </c>
      <c r="M75" s="20">
        <f t="shared" si="12"/>
        <v>2.9835520870239093E-2</v>
      </c>
    </row>
    <row r="76" spans="1:13" x14ac:dyDescent="0.25">
      <c r="A76" s="8">
        <v>38328</v>
      </c>
      <c r="B76" s="9">
        <v>2004.932</v>
      </c>
      <c r="C76">
        <f t="shared" si="14"/>
        <v>5089</v>
      </c>
      <c r="D76" s="10">
        <v>10.84</v>
      </c>
      <c r="E76" s="20">
        <f t="shared" si="15"/>
        <v>-6.3662031009775362E-3</v>
      </c>
      <c r="F76" s="18">
        <f t="shared" si="16"/>
        <v>10.272524104036478</v>
      </c>
      <c r="G76" s="14">
        <f t="shared" si="17"/>
        <v>331.34771960955277</v>
      </c>
      <c r="H76" s="14">
        <f t="shared" si="19"/>
        <v>-0.41082026140327343</v>
      </c>
      <c r="I76" s="19">
        <f t="shared" si="18"/>
        <v>-1.239846352005585E-3</v>
      </c>
      <c r="J76" s="14">
        <f t="shared" si="20"/>
        <v>11.036319609552777</v>
      </c>
      <c r="K76" s="14">
        <f t="shared" si="21"/>
        <v>9.3583764300210532</v>
      </c>
      <c r="L76" s="14">
        <f t="shared" si="21"/>
        <v>3.3791563871225748E-2</v>
      </c>
      <c r="M76" s="20">
        <f t="shared" si="12"/>
        <v>2.859567451823351E-2</v>
      </c>
    </row>
    <row r="77" spans="1:13" x14ac:dyDescent="0.25">
      <c r="A77" s="8">
        <v>38342</v>
      </c>
      <c r="B77" s="9">
        <v>2004.97</v>
      </c>
      <c r="C77">
        <f t="shared" si="14"/>
        <v>5103</v>
      </c>
      <c r="D77" s="10">
        <v>10.84</v>
      </c>
      <c r="E77" s="20">
        <f t="shared" si="15"/>
        <v>0</v>
      </c>
      <c r="F77" s="18">
        <f t="shared" si="16"/>
        <v>10.272524104036478</v>
      </c>
      <c r="G77" s="14">
        <f t="shared" si="17"/>
        <v>331.34771960955277</v>
      </c>
      <c r="H77" s="14">
        <f t="shared" si="19"/>
        <v>0</v>
      </c>
      <c r="I77" s="19">
        <f t="shared" si="18"/>
        <v>0</v>
      </c>
      <c r="J77" s="14">
        <f t="shared" si="20"/>
        <v>11.036319609552777</v>
      </c>
      <c r="K77" s="14">
        <f t="shared" si="21"/>
        <v>9.3583764300210532</v>
      </c>
      <c r="L77" s="14">
        <f t="shared" si="21"/>
        <v>3.3791563871225748E-2</v>
      </c>
      <c r="M77" s="20">
        <f t="shared" si="12"/>
        <v>2.859567451823351E-2</v>
      </c>
    </row>
    <row r="78" spans="1:13" x14ac:dyDescent="0.25">
      <c r="A78" s="8">
        <v>38357</v>
      </c>
      <c r="B78" s="9">
        <v>2005.011</v>
      </c>
      <c r="C78">
        <f t="shared" si="14"/>
        <v>5118</v>
      </c>
      <c r="D78" s="10">
        <v>11.04</v>
      </c>
      <c r="E78" s="20">
        <f t="shared" si="15"/>
        <v>3.1831015504887538E-3</v>
      </c>
      <c r="F78" s="18">
        <f t="shared" si="16"/>
        <v>10.275707205586967</v>
      </c>
      <c r="G78" s="14">
        <f t="shared" si="17"/>
        <v>331.55309792534905</v>
      </c>
      <c r="H78" s="14">
        <f t="shared" si="19"/>
        <v>0.20537831579628119</v>
      </c>
      <c r="I78" s="19">
        <f t="shared" si="18"/>
        <v>6.1944321160444481E-4</v>
      </c>
      <c r="J78" s="14">
        <f t="shared" si="20"/>
        <v>11.241697925349058</v>
      </c>
      <c r="K78" s="14">
        <f>H78</f>
        <v>0.20537831579628119</v>
      </c>
      <c r="L78" s="14">
        <f t="shared" si="21"/>
        <v>3.4411007082830194E-2</v>
      </c>
      <c r="M78" s="20">
        <f>I78</f>
        <v>6.1944321160444481E-4</v>
      </c>
    </row>
    <row r="79" spans="1:13" x14ac:dyDescent="0.25">
      <c r="A79" s="8">
        <v>38370</v>
      </c>
      <c r="B79" s="9">
        <v>2005.047</v>
      </c>
      <c r="C79">
        <f t="shared" si="14"/>
        <v>5131</v>
      </c>
      <c r="D79" s="10">
        <v>10.94</v>
      </c>
      <c r="E79" s="20">
        <f t="shared" si="15"/>
        <v>-1.5915507752443769E-3</v>
      </c>
      <c r="F79" s="18">
        <f t="shared" si="16"/>
        <v>10.274115654811723</v>
      </c>
      <c r="G79" s="14">
        <f t="shared" si="17"/>
        <v>331.45040081372463</v>
      </c>
      <c r="H79" s="14">
        <f t="shared" si="19"/>
        <v>-0.10269711162442263</v>
      </c>
      <c r="I79" s="19">
        <f t="shared" si="18"/>
        <v>-3.0984156716147251E-4</v>
      </c>
      <c r="J79" s="14">
        <f t="shared" si="20"/>
        <v>11.139000813724635</v>
      </c>
      <c r="K79" s="14">
        <f t="shared" ref="K79:L94" si="22">H79+K78</f>
        <v>0.10268120417185855</v>
      </c>
      <c r="L79" s="14">
        <f t="shared" si="21"/>
        <v>3.4101165515668719E-2</v>
      </c>
      <c r="M79" s="20">
        <f t="shared" ref="M79:M118" si="23">I79+M78</f>
        <v>3.096016444429723E-4</v>
      </c>
    </row>
    <row r="80" spans="1:13" x14ac:dyDescent="0.25">
      <c r="A80" s="8">
        <v>38384</v>
      </c>
      <c r="B80" s="9">
        <v>2005.085</v>
      </c>
      <c r="C80">
        <f t="shared" si="14"/>
        <v>5145</v>
      </c>
      <c r="D80" s="10">
        <v>11.14</v>
      </c>
      <c r="E80" s="20">
        <f t="shared" si="15"/>
        <v>3.1831015504887824E-3</v>
      </c>
      <c r="F80" s="18">
        <f t="shared" si="16"/>
        <v>10.277298756362212</v>
      </c>
      <c r="G80" s="14">
        <f t="shared" si="17"/>
        <v>331.65581094442626</v>
      </c>
      <c r="H80" s="14">
        <f t="shared" si="19"/>
        <v>0.20541013070163672</v>
      </c>
      <c r="I80" s="19">
        <f t="shared" si="18"/>
        <v>6.1934729898658757E-4</v>
      </c>
      <c r="J80" s="14">
        <f t="shared" si="20"/>
        <v>11.344410944426272</v>
      </c>
      <c r="K80" s="14">
        <f t="shared" si="22"/>
        <v>0.30809133487349527</v>
      </c>
      <c r="L80" s="14">
        <f t="shared" si="21"/>
        <v>3.4720512814655304E-2</v>
      </c>
      <c r="M80" s="20">
        <f t="shared" si="23"/>
        <v>9.2894894342955992E-4</v>
      </c>
    </row>
    <row r="81" spans="1:13" x14ac:dyDescent="0.25">
      <c r="A81" s="8">
        <v>38398</v>
      </c>
      <c r="B81" s="9">
        <v>2005.123</v>
      </c>
      <c r="C81">
        <f t="shared" si="14"/>
        <v>5159</v>
      </c>
      <c r="D81" s="10">
        <v>11.24</v>
      </c>
      <c r="E81" s="20">
        <f t="shared" si="15"/>
        <v>1.5915507752443769E-3</v>
      </c>
      <c r="F81" s="18">
        <f t="shared" si="16"/>
        <v>10.278890307137456</v>
      </c>
      <c r="G81" s="14">
        <f t="shared" si="17"/>
        <v>331.75853987095604</v>
      </c>
      <c r="H81" s="14">
        <f t="shared" si="19"/>
        <v>0.10272892652977816</v>
      </c>
      <c r="I81" s="19">
        <f t="shared" si="18"/>
        <v>3.0964968247610623E-4</v>
      </c>
      <c r="J81" s="14">
        <f t="shared" si="20"/>
        <v>11.44713987095605</v>
      </c>
      <c r="K81" s="14">
        <f t="shared" si="22"/>
        <v>0.41082026140327343</v>
      </c>
      <c r="L81" s="14">
        <f t="shared" si="21"/>
        <v>3.5030162497131409E-2</v>
      </c>
      <c r="M81" s="20">
        <f t="shared" si="23"/>
        <v>1.2385986259056661E-3</v>
      </c>
    </row>
    <row r="82" spans="1:13" x14ac:dyDescent="0.25">
      <c r="A82" s="8">
        <v>38412</v>
      </c>
      <c r="B82" s="9">
        <v>2005.162</v>
      </c>
      <c r="C82">
        <f t="shared" si="14"/>
        <v>5173</v>
      </c>
      <c r="D82" s="10">
        <v>11.34</v>
      </c>
      <c r="E82" s="20">
        <f t="shared" si="15"/>
        <v>1.5915507752443769E-3</v>
      </c>
      <c r="F82" s="18">
        <f t="shared" si="16"/>
        <v>10.280481857912699</v>
      </c>
      <c r="G82" s="14">
        <f t="shared" si="17"/>
        <v>331.86128470493856</v>
      </c>
      <c r="H82" s="14">
        <f t="shared" si="19"/>
        <v>0.10274483398251277</v>
      </c>
      <c r="I82" s="19">
        <f t="shared" si="18"/>
        <v>3.0960174843493513E-4</v>
      </c>
      <c r="J82" s="14">
        <f t="shared" si="20"/>
        <v>11.549884704938563</v>
      </c>
      <c r="K82" s="14">
        <f t="shared" si="22"/>
        <v>0.51356509538578621</v>
      </c>
      <c r="L82" s="14">
        <f t="shared" si="21"/>
        <v>3.5339764245566341E-2</v>
      </c>
      <c r="M82" s="20">
        <f t="shared" si="23"/>
        <v>1.5482003743406013E-3</v>
      </c>
    </row>
    <row r="83" spans="1:13" x14ac:dyDescent="0.25">
      <c r="A83" s="8">
        <v>38427</v>
      </c>
      <c r="B83" s="9">
        <v>2005.203</v>
      </c>
      <c r="C83">
        <f t="shared" si="14"/>
        <v>5188</v>
      </c>
      <c r="D83" s="10">
        <v>11.24</v>
      </c>
      <c r="E83" s="20">
        <f t="shared" si="15"/>
        <v>-1.5915507752443769E-3</v>
      </c>
      <c r="F83" s="18">
        <f t="shared" si="16"/>
        <v>10.278890307137456</v>
      </c>
      <c r="G83" s="14">
        <f t="shared" si="17"/>
        <v>331.75853987095604</v>
      </c>
      <c r="H83" s="14">
        <f t="shared" si="19"/>
        <v>-0.10274483398251277</v>
      </c>
      <c r="I83" s="19">
        <f t="shared" si="18"/>
        <v>-3.0969763136309131E-4</v>
      </c>
      <c r="J83" s="14">
        <f t="shared" si="20"/>
        <v>11.44713987095605</v>
      </c>
      <c r="K83" s="14">
        <f t="shared" si="22"/>
        <v>0.41082026140327343</v>
      </c>
      <c r="L83" s="14">
        <f t="shared" si="21"/>
        <v>3.5030066614203249E-2</v>
      </c>
      <c r="M83" s="20">
        <f t="shared" si="23"/>
        <v>1.2385027429775101E-3</v>
      </c>
    </row>
    <row r="84" spans="1:13" x14ac:dyDescent="0.25">
      <c r="A84" s="8">
        <v>38440</v>
      </c>
      <c r="B84" s="9">
        <v>2005.2380000000001</v>
      </c>
      <c r="C84">
        <f t="shared" si="14"/>
        <v>5201</v>
      </c>
      <c r="D84" s="10">
        <v>11.24</v>
      </c>
      <c r="E84" s="20">
        <f t="shared" si="15"/>
        <v>0</v>
      </c>
      <c r="F84" s="18">
        <f t="shared" si="16"/>
        <v>10.278890307137456</v>
      </c>
      <c r="G84" s="14">
        <f t="shared" si="17"/>
        <v>331.75853987095604</v>
      </c>
      <c r="H84" s="14">
        <f t="shared" si="19"/>
        <v>0</v>
      </c>
      <c r="I84" s="19">
        <f t="shared" si="18"/>
        <v>0</v>
      </c>
      <c r="J84" s="14">
        <f t="shared" si="20"/>
        <v>11.44713987095605</v>
      </c>
      <c r="K84" s="14">
        <f t="shared" si="22"/>
        <v>0.41082026140327343</v>
      </c>
      <c r="L84" s="14">
        <f t="shared" si="21"/>
        <v>3.5030066614203249E-2</v>
      </c>
      <c r="M84" s="20">
        <f t="shared" si="23"/>
        <v>1.2385027429775101E-3</v>
      </c>
    </row>
    <row r="85" spans="1:13" x14ac:dyDescent="0.25">
      <c r="A85" s="8">
        <v>38449</v>
      </c>
      <c r="B85" s="9">
        <v>2005.2629999999999</v>
      </c>
      <c r="C85">
        <f t="shared" si="14"/>
        <v>5210</v>
      </c>
      <c r="D85" s="10">
        <v>11.24</v>
      </c>
      <c r="E85" s="20">
        <f t="shared" si="15"/>
        <v>0</v>
      </c>
      <c r="F85" s="18">
        <f t="shared" si="16"/>
        <v>10.278890307137456</v>
      </c>
      <c r="G85" s="14">
        <f t="shared" si="17"/>
        <v>331.75853987095604</v>
      </c>
      <c r="H85" s="14">
        <f t="shared" si="19"/>
        <v>0</v>
      </c>
      <c r="I85" s="19">
        <f t="shared" si="18"/>
        <v>0</v>
      </c>
      <c r="J85" s="14">
        <f t="shared" si="20"/>
        <v>11.44713987095605</v>
      </c>
      <c r="K85" s="14">
        <f t="shared" si="22"/>
        <v>0.41082026140327343</v>
      </c>
      <c r="L85" s="14">
        <f t="shared" si="21"/>
        <v>3.5030066614203249E-2</v>
      </c>
      <c r="M85" s="20">
        <f t="shared" si="23"/>
        <v>1.2385027429775101E-3</v>
      </c>
    </row>
    <row r="86" spans="1:13" x14ac:dyDescent="0.25">
      <c r="A86" s="8">
        <v>38456</v>
      </c>
      <c r="B86" s="9">
        <v>2005.2819999999999</v>
      </c>
      <c r="C86">
        <f t="shared" si="14"/>
        <v>5217</v>
      </c>
      <c r="D86" s="10">
        <v>11.34</v>
      </c>
      <c r="E86" s="20">
        <f t="shared" si="15"/>
        <v>1.5915507752443769E-3</v>
      </c>
      <c r="F86" s="18">
        <f t="shared" si="16"/>
        <v>10.280481857912699</v>
      </c>
      <c r="G86" s="14">
        <f t="shared" si="17"/>
        <v>331.86128470493856</v>
      </c>
      <c r="H86" s="14">
        <f t="shared" si="19"/>
        <v>0.10274483398251277</v>
      </c>
      <c r="I86" s="19">
        <f t="shared" si="18"/>
        <v>3.0960174843493513E-4</v>
      </c>
      <c r="J86" s="14">
        <f t="shared" si="20"/>
        <v>11.549884704938563</v>
      </c>
      <c r="K86" s="14">
        <f t="shared" si="22"/>
        <v>0.51356509538578621</v>
      </c>
      <c r="L86" s="14">
        <f t="shared" si="21"/>
        <v>3.5339668362638181E-2</v>
      </c>
      <c r="M86" s="20">
        <f t="shared" si="23"/>
        <v>1.5481044914124453E-3</v>
      </c>
    </row>
    <row r="87" spans="1:13" x14ac:dyDescent="0.25">
      <c r="A87" s="8">
        <v>38461</v>
      </c>
      <c r="B87" s="9">
        <v>2005.296</v>
      </c>
      <c r="C87">
        <f t="shared" si="14"/>
        <v>5222</v>
      </c>
      <c r="D87" s="10">
        <v>11.44</v>
      </c>
      <c r="E87" s="20">
        <f t="shared" si="15"/>
        <v>1.5915507752443769E-3</v>
      </c>
      <c r="F87" s="18">
        <f t="shared" si="16"/>
        <v>10.282073408687943</v>
      </c>
      <c r="G87" s="14">
        <f t="shared" si="17"/>
        <v>331.96404544637375</v>
      </c>
      <c r="H87" s="14">
        <f t="shared" si="19"/>
        <v>0.10276074143519054</v>
      </c>
      <c r="I87" s="19">
        <f t="shared" si="18"/>
        <v>3.0955382923175863E-4</v>
      </c>
      <c r="J87" s="14">
        <f t="shared" si="20"/>
        <v>11.652645446373754</v>
      </c>
      <c r="K87" s="14">
        <f t="shared" si="22"/>
        <v>0.61632583682097675</v>
      </c>
      <c r="L87" s="14">
        <f t="shared" si="21"/>
        <v>3.5649222191869938E-2</v>
      </c>
      <c r="M87" s="20">
        <f t="shared" si="23"/>
        <v>1.8576583206442038E-3</v>
      </c>
    </row>
    <row r="88" spans="1:13" x14ac:dyDescent="0.25">
      <c r="A88" s="8">
        <v>38468</v>
      </c>
      <c r="B88" s="9">
        <v>2005.3150000000001</v>
      </c>
      <c r="C88">
        <f t="shared" si="14"/>
        <v>5229</v>
      </c>
      <c r="D88" s="10">
        <v>12.24</v>
      </c>
      <c r="E88" s="20">
        <f t="shared" si="15"/>
        <v>1.2732406201955072E-2</v>
      </c>
      <c r="F88" s="18">
        <f t="shared" si="16"/>
        <v>10.294805814889898</v>
      </c>
      <c r="G88" s="14">
        <f t="shared" si="17"/>
        <v>332.78670404615332</v>
      </c>
      <c r="H88" s="14">
        <f t="shared" si="19"/>
        <v>0.82265859977957234</v>
      </c>
      <c r="I88" s="19">
        <f t="shared" si="18"/>
        <v>2.4720296507563595E-3</v>
      </c>
      <c r="J88" s="14">
        <f t="shared" si="20"/>
        <v>12.475304046153326</v>
      </c>
      <c r="K88" s="14">
        <f t="shared" si="22"/>
        <v>1.4389844366005491</v>
      </c>
      <c r="L88" s="14">
        <f t="shared" si="22"/>
        <v>3.8121251842626297E-2</v>
      </c>
      <c r="M88" s="20">
        <f t="shared" si="23"/>
        <v>4.3296879714005629E-3</v>
      </c>
    </row>
    <row r="89" spans="1:13" x14ac:dyDescent="0.25">
      <c r="A89" s="8">
        <v>38475</v>
      </c>
      <c r="B89" s="9">
        <v>2005.3340000000001</v>
      </c>
      <c r="C89">
        <f t="shared" si="14"/>
        <v>5236</v>
      </c>
      <c r="D89" s="10">
        <v>12.34</v>
      </c>
      <c r="E89" s="20">
        <f t="shared" si="15"/>
        <v>1.5915507752443769E-3</v>
      </c>
      <c r="F89" s="18">
        <f t="shared" si="16"/>
        <v>10.296397365665142</v>
      </c>
      <c r="G89" s="14">
        <f t="shared" si="17"/>
        <v>332.88960795466289</v>
      </c>
      <c r="H89" s="14">
        <f t="shared" si="19"/>
        <v>0.10290390850957465</v>
      </c>
      <c r="I89" s="19">
        <f t="shared" si="18"/>
        <v>3.0912322298625014E-4</v>
      </c>
      <c r="J89" s="14">
        <f t="shared" si="20"/>
        <v>12.578207954662901</v>
      </c>
      <c r="K89" s="14">
        <f t="shared" si="22"/>
        <v>1.5418883451101237</v>
      </c>
      <c r="L89" s="14">
        <f t="shared" si="22"/>
        <v>3.8430375065612546E-2</v>
      </c>
      <c r="M89" s="20">
        <f t="shared" si="23"/>
        <v>4.6388111943868127E-3</v>
      </c>
    </row>
    <row r="90" spans="1:13" x14ac:dyDescent="0.25">
      <c r="A90" s="8">
        <v>38482</v>
      </c>
      <c r="B90" s="9">
        <v>2005.3530000000001</v>
      </c>
      <c r="C90">
        <f t="shared" si="14"/>
        <v>5243</v>
      </c>
      <c r="D90" s="10">
        <v>12.54</v>
      </c>
      <c r="E90" s="20">
        <f t="shared" si="15"/>
        <v>3.1831015504887538E-3</v>
      </c>
      <c r="F90" s="18">
        <f t="shared" si="16"/>
        <v>10.29958046721563</v>
      </c>
      <c r="G90" s="14">
        <f t="shared" si="17"/>
        <v>333.09546349404019</v>
      </c>
      <c r="H90" s="14">
        <f t="shared" si="19"/>
        <v>0.20585553937729628</v>
      </c>
      <c r="I90" s="19">
        <f t="shared" si="18"/>
        <v>6.1800763426182021E-4</v>
      </c>
      <c r="J90" s="14">
        <f t="shared" si="20"/>
        <v>12.784063494040197</v>
      </c>
      <c r="K90" s="14">
        <f t="shared" si="22"/>
        <v>1.74774388448742</v>
      </c>
      <c r="L90" s="14">
        <f t="shared" si="22"/>
        <v>3.9048382699874366E-2</v>
      </c>
      <c r="M90" s="20">
        <f t="shared" si="23"/>
        <v>5.2568188286486331E-3</v>
      </c>
    </row>
    <row r="91" spans="1:13" x14ac:dyDescent="0.25">
      <c r="A91" s="8">
        <v>38489</v>
      </c>
      <c r="B91" s="9">
        <v>2005.373</v>
      </c>
      <c r="C91">
        <f t="shared" si="14"/>
        <v>5250</v>
      </c>
      <c r="D91" s="10">
        <v>12.84</v>
      </c>
      <c r="E91" s="20">
        <f t="shared" si="15"/>
        <v>4.7746523257331591E-3</v>
      </c>
      <c r="F91" s="18">
        <f t="shared" si="16"/>
        <v>10.304355119541363</v>
      </c>
      <c r="G91" s="14">
        <f t="shared" si="17"/>
        <v>333.40436610900144</v>
      </c>
      <c r="H91" s="14">
        <f t="shared" si="19"/>
        <v>0.30890261496125504</v>
      </c>
      <c r="I91" s="19">
        <f t="shared" si="18"/>
        <v>9.2651040706606723E-4</v>
      </c>
      <c r="J91" s="14">
        <f t="shared" si="20"/>
        <v>13.092966109001452</v>
      </c>
      <c r="K91" s="14">
        <f t="shared" si="22"/>
        <v>2.0566464994486751</v>
      </c>
      <c r="L91" s="14">
        <f t="shared" si="22"/>
        <v>3.9974893106940433E-2</v>
      </c>
      <c r="M91" s="20">
        <f t="shared" si="23"/>
        <v>6.1833292357147008E-3</v>
      </c>
    </row>
    <row r="92" spans="1:13" x14ac:dyDescent="0.25">
      <c r="A92" s="8">
        <v>38497</v>
      </c>
      <c r="B92" s="9">
        <v>2005.395</v>
      </c>
      <c r="C92">
        <f t="shared" si="14"/>
        <v>5258</v>
      </c>
      <c r="D92" s="10">
        <v>13.59</v>
      </c>
      <c r="E92" s="20">
        <f t="shared" si="15"/>
        <v>1.193663081433287E-2</v>
      </c>
      <c r="F92" s="18">
        <f t="shared" si="16"/>
        <v>10.316291750355695</v>
      </c>
      <c r="G92" s="14">
        <f t="shared" si="17"/>
        <v>334.17724900235493</v>
      </c>
      <c r="H92" s="14">
        <f t="shared" si="19"/>
        <v>0.77288289335348281</v>
      </c>
      <c r="I92" s="19">
        <f t="shared" si="18"/>
        <v>2.3127932726145469E-3</v>
      </c>
      <c r="J92" s="14">
        <f t="shared" si="20"/>
        <v>13.865849002354935</v>
      </c>
      <c r="K92" s="14">
        <f t="shared" si="22"/>
        <v>2.8295293928021579</v>
      </c>
      <c r="L92" s="14">
        <f t="shared" si="22"/>
        <v>4.2287686379554983E-2</v>
      </c>
      <c r="M92" s="20">
        <f t="shared" si="23"/>
        <v>8.4961225083292485E-3</v>
      </c>
    </row>
    <row r="93" spans="1:13" x14ac:dyDescent="0.25">
      <c r="A93" s="8">
        <v>38503</v>
      </c>
      <c r="B93" s="9">
        <v>2005.4110000000001</v>
      </c>
      <c r="C93">
        <f t="shared" si="14"/>
        <v>5264</v>
      </c>
      <c r="D93" s="10">
        <v>14.39</v>
      </c>
      <c r="E93" s="20">
        <f t="shared" si="15"/>
        <v>1.2732406201955072E-2</v>
      </c>
      <c r="F93" s="18">
        <f t="shared" si="16"/>
        <v>10.329024156557651</v>
      </c>
      <c r="G93" s="14">
        <f t="shared" si="17"/>
        <v>335.00264368399968</v>
      </c>
      <c r="H93" s="14">
        <f t="shared" si="19"/>
        <v>0.82539468164475238</v>
      </c>
      <c r="I93" s="19">
        <f t="shared" si="18"/>
        <v>2.4638452776609377E-3</v>
      </c>
      <c r="J93" s="14">
        <f t="shared" si="20"/>
        <v>14.691243683999687</v>
      </c>
      <c r="K93" s="14">
        <f t="shared" si="22"/>
        <v>3.6549240744469103</v>
      </c>
      <c r="L93" s="14">
        <f t="shared" si="22"/>
        <v>4.4751531657215918E-2</v>
      </c>
      <c r="M93" s="20">
        <f t="shared" si="23"/>
        <v>1.0959967785990187E-2</v>
      </c>
    </row>
    <row r="94" spans="1:13" x14ac:dyDescent="0.25">
      <c r="A94" s="8">
        <v>38510</v>
      </c>
      <c r="B94" s="9">
        <v>2005.43</v>
      </c>
      <c r="C94">
        <f t="shared" si="14"/>
        <v>5271</v>
      </c>
      <c r="D94" s="10">
        <v>14.84</v>
      </c>
      <c r="E94" s="20">
        <f t="shared" si="15"/>
        <v>7.1619784885997104E-3</v>
      </c>
      <c r="F94" s="18">
        <f t="shared" si="16"/>
        <v>10.336186135046251</v>
      </c>
      <c r="G94" s="14">
        <f t="shared" si="17"/>
        <v>335.46737558953225</v>
      </c>
      <c r="H94" s="14">
        <f t="shared" si="19"/>
        <v>0.46473190553257382</v>
      </c>
      <c r="I94" s="19">
        <f t="shared" si="18"/>
        <v>1.3853266795791365E-3</v>
      </c>
      <c r="J94" s="14">
        <f t="shared" si="20"/>
        <v>15.155975589532261</v>
      </c>
      <c r="K94" s="14">
        <f t="shared" si="22"/>
        <v>4.1196559799794841</v>
      </c>
      <c r="L94" s="14">
        <f t="shared" si="22"/>
        <v>4.6136858336795053E-2</v>
      </c>
      <c r="M94" s="20">
        <f t="shared" si="23"/>
        <v>1.2345294465569324E-2</v>
      </c>
    </row>
    <row r="95" spans="1:13" x14ac:dyDescent="0.25">
      <c r="A95" s="8">
        <v>38517</v>
      </c>
      <c r="B95" s="9">
        <v>2005.4490000000001</v>
      </c>
      <c r="C95">
        <f t="shared" si="14"/>
        <v>5278</v>
      </c>
      <c r="D95" s="10">
        <v>15.39</v>
      </c>
      <c r="E95" s="20">
        <f t="shared" si="15"/>
        <v>8.7535292638441162E-3</v>
      </c>
      <c r="F95" s="18">
        <f t="shared" si="16"/>
        <v>10.344939664310095</v>
      </c>
      <c r="G95" s="14">
        <f t="shared" si="17"/>
        <v>336.03581870679909</v>
      </c>
      <c r="H95" s="14">
        <f t="shared" si="19"/>
        <v>0.56844311726683827</v>
      </c>
      <c r="I95" s="19">
        <f t="shared" si="18"/>
        <v>1.6916146601705612E-3</v>
      </c>
      <c r="J95" s="14">
        <f t="shared" si="20"/>
        <v>15.724418706799099</v>
      </c>
      <c r="K95" s="14">
        <f t="shared" ref="K95:L110" si="24">H95+K94</f>
        <v>4.6880990972463223</v>
      </c>
      <c r="L95" s="14">
        <f t="shared" si="24"/>
        <v>4.7828472996965611E-2</v>
      </c>
      <c r="M95" s="20">
        <f t="shared" si="23"/>
        <v>1.4036909125739886E-2</v>
      </c>
    </row>
    <row r="96" spans="1:13" x14ac:dyDescent="0.25">
      <c r="A96" s="8">
        <v>38524</v>
      </c>
      <c r="B96" s="9">
        <v>2005.4690000000001</v>
      </c>
      <c r="C96">
        <f t="shared" si="14"/>
        <v>5285</v>
      </c>
      <c r="D96" s="10">
        <v>15.74</v>
      </c>
      <c r="E96" s="20">
        <f t="shared" si="15"/>
        <v>5.5704277133553333E-3</v>
      </c>
      <c r="F96" s="18">
        <f t="shared" si="16"/>
        <v>10.35051009202345</v>
      </c>
      <c r="G96" s="14">
        <f t="shared" si="17"/>
        <v>336.39780577834898</v>
      </c>
      <c r="H96" s="14">
        <f t="shared" si="19"/>
        <v>0.36198707154989052</v>
      </c>
      <c r="I96" s="19">
        <f t="shared" si="18"/>
        <v>1.0760684681409669E-3</v>
      </c>
      <c r="J96" s="14">
        <f t="shared" si="20"/>
        <v>16.08640577834899</v>
      </c>
      <c r="K96" s="14">
        <f t="shared" si="24"/>
        <v>5.0500861687962129</v>
      </c>
      <c r="L96" s="14">
        <f t="shared" si="24"/>
        <v>4.8904541465106581E-2</v>
      </c>
      <c r="M96" s="20">
        <f t="shared" si="23"/>
        <v>1.5112977593880852E-2</v>
      </c>
    </row>
    <row r="97" spans="1:13" x14ac:dyDescent="0.25">
      <c r="A97" s="8">
        <v>38531</v>
      </c>
      <c r="B97" s="9">
        <v>2005.4880000000001</v>
      </c>
      <c r="C97">
        <f t="shared" si="14"/>
        <v>5292</v>
      </c>
      <c r="D97" s="10">
        <v>16.04</v>
      </c>
      <c r="E97" s="20">
        <f t="shared" si="15"/>
        <v>4.7746523257331313E-3</v>
      </c>
      <c r="F97" s="18">
        <f t="shared" si="16"/>
        <v>10.355284744349182</v>
      </c>
      <c r="G97" s="14">
        <f t="shared" si="17"/>
        <v>336.70823550876986</v>
      </c>
      <c r="H97" s="14">
        <f t="shared" si="19"/>
        <v>0.31042973042087851</v>
      </c>
      <c r="I97" s="19">
        <f t="shared" si="18"/>
        <v>9.2195467079032314E-4</v>
      </c>
      <c r="J97" s="14">
        <f t="shared" si="20"/>
        <v>16.396835508769868</v>
      </c>
      <c r="K97" s="14">
        <f t="shared" si="24"/>
        <v>5.3605158992170914</v>
      </c>
      <c r="L97" s="14">
        <f t="shared" si="24"/>
        <v>4.9826496135896903E-2</v>
      </c>
      <c r="M97" s="20">
        <f t="shared" si="23"/>
        <v>1.6034932264671176E-2</v>
      </c>
    </row>
    <row r="98" spans="1:13" x14ac:dyDescent="0.25">
      <c r="A98" s="8">
        <v>38538</v>
      </c>
      <c r="B98" s="9">
        <v>2005.5070000000001</v>
      </c>
      <c r="C98">
        <f t="shared" si="14"/>
        <v>5299</v>
      </c>
      <c r="D98" s="10">
        <v>16.34</v>
      </c>
      <c r="E98" s="20">
        <f t="shared" si="15"/>
        <v>4.7746523257331591E-3</v>
      </c>
      <c r="F98" s="18">
        <f t="shared" si="16"/>
        <v>10.360059396674915</v>
      </c>
      <c r="G98" s="14">
        <f t="shared" si="17"/>
        <v>337.01880840626512</v>
      </c>
      <c r="H98" s="14">
        <f t="shared" si="19"/>
        <v>0.31057289749526262</v>
      </c>
      <c r="I98" s="19">
        <f t="shared" si="18"/>
        <v>9.215298664307102E-4</v>
      </c>
      <c r="J98" s="14">
        <f t="shared" si="20"/>
        <v>16.707408406265131</v>
      </c>
      <c r="K98" s="14">
        <f t="shared" si="24"/>
        <v>5.671088796712354</v>
      </c>
      <c r="L98" s="14">
        <f t="shared" si="24"/>
        <v>5.0748026002327612E-2</v>
      </c>
      <c r="M98" s="20">
        <f t="shared" si="23"/>
        <v>1.6956462131101885E-2</v>
      </c>
    </row>
    <row r="99" spans="1:13" x14ac:dyDescent="0.25">
      <c r="A99" s="8">
        <v>38545</v>
      </c>
      <c r="B99" s="9">
        <v>2005.5260000000001</v>
      </c>
      <c r="C99">
        <f t="shared" si="14"/>
        <v>5306</v>
      </c>
      <c r="D99" s="10">
        <v>16.34</v>
      </c>
      <c r="E99" s="20">
        <f t="shared" si="15"/>
        <v>0</v>
      </c>
      <c r="F99" s="18">
        <f t="shared" si="16"/>
        <v>10.360059396674915</v>
      </c>
      <c r="G99" s="14">
        <f t="shared" si="17"/>
        <v>337.01880840626512</v>
      </c>
      <c r="H99" s="14">
        <f t="shared" si="19"/>
        <v>0</v>
      </c>
      <c r="I99" s="19">
        <f t="shared" si="18"/>
        <v>0</v>
      </c>
      <c r="J99" s="14">
        <f t="shared" si="20"/>
        <v>16.707408406265131</v>
      </c>
      <c r="K99" s="14">
        <f t="shared" si="24"/>
        <v>5.671088796712354</v>
      </c>
      <c r="L99" s="14">
        <f t="shared" si="24"/>
        <v>5.0748026002327612E-2</v>
      </c>
      <c r="M99" s="20">
        <f t="shared" si="23"/>
        <v>1.6956462131101885E-2</v>
      </c>
    </row>
    <row r="100" spans="1:13" x14ac:dyDescent="0.25">
      <c r="A100" s="8">
        <v>38552</v>
      </c>
      <c r="B100" s="9">
        <v>2005.5450000000001</v>
      </c>
      <c r="C100">
        <f t="shared" si="14"/>
        <v>5313</v>
      </c>
      <c r="D100" s="10">
        <v>16.34</v>
      </c>
      <c r="E100" s="20">
        <f t="shared" si="15"/>
        <v>0</v>
      </c>
      <c r="F100" s="18">
        <f t="shared" si="16"/>
        <v>10.360059396674915</v>
      </c>
      <c r="G100" s="14">
        <f t="shared" si="17"/>
        <v>337.01880840626512</v>
      </c>
      <c r="H100" s="14">
        <f t="shared" si="19"/>
        <v>0</v>
      </c>
      <c r="I100" s="19">
        <f t="shared" si="18"/>
        <v>0</v>
      </c>
      <c r="J100" s="14">
        <f t="shared" si="20"/>
        <v>16.707408406265131</v>
      </c>
      <c r="K100" s="14">
        <f t="shared" si="24"/>
        <v>5.671088796712354</v>
      </c>
      <c r="L100" s="14">
        <f t="shared" si="24"/>
        <v>5.0748026002327612E-2</v>
      </c>
      <c r="M100" s="20">
        <f t="shared" si="23"/>
        <v>1.6956462131101885E-2</v>
      </c>
    </row>
    <row r="101" spans="1:13" x14ac:dyDescent="0.25">
      <c r="A101" s="8">
        <v>38559</v>
      </c>
      <c r="B101" s="9">
        <v>2005.5640000000001</v>
      </c>
      <c r="C101">
        <f t="shared" si="14"/>
        <v>5320</v>
      </c>
      <c r="D101" s="10">
        <v>16.34</v>
      </c>
      <c r="E101" s="20">
        <f t="shared" si="15"/>
        <v>0</v>
      </c>
      <c r="F101" s="18">
        <f t="shared" si="16"/>
        <v>10.360059396674915</v>
      </c>
      <c r="G101" s="14">
        <f t="shared" si="17"/>
        <v>337.01880840626512</v>
      </c>
      <c r="H101" s="14">
        <f t="shared" si="19"/>
        <v>0</v>
      </c>
      <c r="I101" s="19">
        <f t="shared" si="18"/>
        <v>0</v>
      </c>
      <c r="J101" s="14">
        <f t="shared" si="20"/>
        <v>16.707408406265131</v>
      </c>
      <c r="K101" s="14">
        <f t="shared" si="24"/>
        <v>5.671088796712354</v>
      </c>
      <c r="L101" s="14">
        <f t="shared" si="24"/>
        <v>5.0748026002327612E-2</v>
      </c>
      <c r="M101" s="20">
        <f t="shared" si="23"/>
        <v>1.6956462131101885E-2</v>
      </c>
    </row>
    <row r="102" spans="1:13" s="11" customFormat="1" x14ac:dyDescent="0.25">
      <c r="A102" s="31">
        <v>38566</v>
      </c>
      <c r="B102" s="32">
        <v>2005.5840000000001</v>
      </c>
      <c r="C102" s="11">
        <f t="shared" si="14"/>
        <v>5327</v>
      </c>
      <c r="D102" s="33">
        <v>16.34</v>
      </c>
      <c r="E102" s="34">
        <f t="shared" si="15"/>
        <v>0</v>
      </c>
      <c r="F102" s="18">
        <f t="shared" si="16"/>
        <v>10.360059396674915</v>
      </c>
      <c r="G102" s="18">
        <f t="shared" si="17"/>
        <v>337.01880840626512</v>
      </c>
      <c r="H102" s="18">
        <f t="shared" si="19"/>
        <v>0</v>
      </c>
      <c r="I102" s="35">
        <f t="shared" si="18"/>
        <v>0</v>
      </c>
      <c r="J102" s="18">
        <f t="shared" si="20"/>
        <v>16.707408406265131</v>
      </c>
      <c r="K102" s="18">
        <f t="shared" si="24"/>
        <v>5.671088796712354</v>
      </c>
      <c r="L102" s="18">
        <f t="shared" si="24"/>
        <v>5.0748026002327612E-2</v>
      </c>
      <c r="M102" s="34">
        <f t="shared" si="23"/>
        <v>1.6956462131101885E-2</v>
      </c>
    </row>
    <row r="103" spans="1:13" x14ac:dyDescent="0.25">
      <c r="A103" s="8">
        <v>38573</v>
      </c>
      <c r="B103" s="9">
        <v>2005.6030000000001</v>
      </c>
      <c r="C103">
        <f t="shared" si="14"/>
        <v>5334</v>
      </c>
      <c r="D103" s="10">
        <v>16.940000000000001</v>
      </c>
      <c r="E103" s="20">
        <f t="shared" si="15"/>
        <v>9.5493046514663182E-3</v>
      </c>
      <c r="F103" s="18">
        <f t="shared" si="16"/>
        <v>10.369608701326381</v>
      </c>
      <c r="G103" s="14">
        <f t="shared" si="17"/>
        <v>337.64038370247874</v>
      </c>
      <c r="H103" s="14">
        <f t="shared" si="19"/>
        <v>0.62157529621362073</v>
      </c>
      <c r="I103" s="19">
        <f t="shared" si="18"/>
        <v>1.8409388397133773E-3</v>
      </c>
      <c r="J103" s="14">
        <f t="shared" si="20"/>
        <v>17.328983702478752</v>
      </c>
      <c r="K103" s="14">
        <f t="shared" si="24"/>
        <v>6.2926640929259747</v>
      </c>
      <c r="L103" s="14">
        <f t="shared" si="24"/>
        <v>5.2588964842040987E-2</v>
      </c>
      <c r="M103" s="20">
        <f t="shared" si="23"/>
        <v>1.879740097081526E-2</v>
      </c>
    </row>
    <row r="104" spans="1:13" x14ac:dyDescent="0.25">
      <c r="A104" s="8">
        <v>38580</v>
      </c>
      <c r="B104" s="9">
        <v>2005.6220000000001</v>
      </c>
      <c r="C104">
        <f t="shared" si="14"/>
        <v>5341</v>
      </c>
      <c r="D104" s="10">
        <v>18.04</v>
      </c>
      <c r="E104" s="20">
        <f t="shared" si="15"/>
        <v>1.7507058527688177E-2</v>
      </c>
      <c r="F104" s="18">
        <f t="shared" si="16"/>
        <v>10.387115759854069</v>
      </c>
      <c r="G104" s="14">
        <f t="shared" si="17"/>
        <v>338.78142575903155</v>
      </c>
      <c r="H104" s="14">
        <f t="shared" si="19"/>
        <v>1.1410420565528057</v>
      </c>
      <c r="I104" s="19">
        <f t="shared" si="18"/>
        <v>3.3680773790839584E-3</v>
      </c>
      <c r="J104" s="14">
        <f t="shared" si="20"/>
        <v>18.470025759031557</v>
      </c>
      <c r="K104" s="14">
        <f t="shared" si="24"/>
        <v>7.4337061494787804</v>
      </c>
      <c r="L104" s="14">
        <f t="shared" si="24"/>
        <v>5.5957042221124943E-2</v>
      </c>
      <c r="M104" s="20">
        <f t="shared" si="23"/>
        <v>2.216547834989922E-2</v>
      </c>
    </row>
    <row r="105" spans="1:13" x14ac:dyDescent="0.25">
      <c r="A105" s="8">
        <v>38587</v>
      </c>
      <c r="B105" s="9">
        <v>2005.6410000000001</v>
      </c>
      <c r="C105">
        <f t="shared" si="14"/>
        <v>5348</v>
      </c>
      <c r="D105" s="10">
        <v>18.34</v>
      </c>
      <c r="E105" s="20">
        <f t="shared" si="15"/>
        <v>4.7746523257331591E-3</v>
      </c>
      <c r="F105" s="18">
        <f t="shared" si="16"/>
        <v>10.391890412179801</v>
      </c>
      <c r="G105" s="14">
        <f t="shared" si="17"/>
        <v>339.09295310368907</v>
      </c>
      <c r="H105" s="14">
        <f t="shared" si="19"/>
        <v>0.31152734465752019</v>
      </c>
      <c r="I105" s="19">
        <f t="shared" si="18"/>
        <v>9.1870781095902113E-4</v>
      </c>
      <c r="J105" s="14">
        <f t="shared" si="20"/>
        <v>18.781553103689077</v>
      </c>
      <c r="K105" s="14">
        <f t="shared" si="24"/>
        <v>7.7452334941363006</v>
      </c>
      <c r="L105" s="14">
        <f t="shared" si="24"/>
        <v>5.6875750032083963E-2</v>
      </c>
      <c r="M105" s="20">
        <f t="shared" si="23"/>
        <v>2.308418616085824E-2</v>
      </c>
    </row>
    <row r="106" spans="1:13" x14ac:dyDescent="0.25">
      <c r="A106" s="8">
        <v>38594</v>
      </c>
      <c r="B106" s="9">
        <v>2005.66</v>
      </c>
      <c r="C106">
        <f t="shared" si="14"/>
        <v>5355</v>
      </c>
      <c r="D106" s="10">
        <v>19.04</v>
      </c>
      <c r="E106" s="20">
        <f t="shared" si="15"/>
        <v>1.1140855426710667E-2</v>
      </c>
      <c r="F106" s="18">
        <f t="shared" si="16"/>
        <v>10.403031267606512</v>
      </c>
      <c r="G106" s="14">
        <f t="shared" si="17"/>
        <v>339.82040700206807</v>
      </c>
      <c r="H106" s="14">
        <f t="shared" si="19"/>
        <v>0.72745389837899666</v>
      </c>
      <c r="I106" s="19">
        <f t="shared" si="18"/>
        <v>2.1407010391067231E-3</v>
      </c>
      <c r="J106" s="14">
        <f t="shared" si="20"/>
        <v>19.509007002068074</v>
      </c>
      <c r="K106" s="14">
        <f t="shared" si="24"/>
        <v>8.4726873925152972</v>
      </c>
      <c r="L106" s="14">
        <f t="shared" si="24"/>
        <v>5.901645107119069E-2</v>
      </c>
      <c r="M106" s="20">
        <f t="shared" si="23"/>
        <v>2.5224887199964963E-2</v>
      </c>
    </row>
    <row r="107" spans="1:13" x14ac:dyDescent="0.25">
      <c r="A107" s="8">
        <v>38601</v>
      </c>
      <c r="B107" s="9">
        <v>2005.6790000000001</v>
      </c>
      <c r="C107">
        <f t="shared" si="14"/>
        <v>5362</v>
      </c>
      <c r="D107" s="10">
        <v>19.64</v>
      </c>
      <c r="E107" s="20">
        <f t="shared" si="15"/>
        <v>9.5493046514663182E-3</v>
      </c>
      <c r="F107" s="18">
        <f t="shared" si="16"/>
        <v>10.412580572257978</v>
      </c>
      <c r="G107" s="14">
        <f t="shared" si="17"/>
        <v>340.44455930561986</v>
      </c>
      <c r="H107" s="14">
        <f t="shared" si="19"/>
        <v>0.62415230355179574</v>
      </c>
      <c r="I107" s="19">
        <f t="shared" si="18"/>
        <v>1.8333449206086126E-3</v>
      </c>
      <c r="J107" s="14">
        <f t="shared" si="20"/>
        <v>20.13315930561987</v>
      </c>
      <c r="K107" s="14">
        <f t="shared" si="24"/>
        <v>9.096839696067093</v>
      </c>
      <c r="L107" s="14">
        <f t="shared" si="24"/>
        <v>6.0849795991799301E-2</v>
      </c>
      <c r="M107" s="20">
        <f t="shared" si="23"/>
        <v>2.7058232120573573E-2</v>
      </c>
    </row>
    <row r="108" spans="1:13" x14ac:dyDescent="0.25">
      <c r="A108" s="8">
        <v>38608</v>
      </c>
      <c r="B108" s="9">
        <v>2005.6990000000001</v>
      </c>
      <c r="C108">
        <f t="shared" si="14"/>
        <v>5369</v>
      </c>
      <c r="D108" s="10">
        <v>19.84</v>
      </c>
      <c r="E108" s="20">
        <f t="shared" si="15"/>
        <v>3.1831015504887538E-3</v>
      </c>
      <c r="F108" s="18">
        <f t="shared" si="16"/>
        <v>10.415763673808467</v>
      </c>
      <c r="G108" s="14">
        <f t="shared" si="17"/>
        <v>340.65273733309209</v>
      </c>
      <c r="H108" s="14">
        <f t="shared" si="19"/>
        <v>0.20817802747222913</v>
      </c>
      <c r="I108" s="19">
        <f t="shared" si="18"/>
        <v>6.1111508776361752E-4</v>
      </c>
      <c r="J108" s="14">
        <f t="shared" si="20"/>
        <v>20.341337333092099</v>
      </c>
      <c r="K108" s="14">
        <f t="shared" si="24"/>
        <v>9.3050177235393221</v>
      </c>
      <c r="L108" s="14">
        <f t="shared" si="24"/>
        <v>6.1460911079562919E-2</v>
      </c>
      <c r="M108" s="20">
        <f t="shared" si="23"/>
        <v>2.7669347208337192E-2</v>
      </c>
    </row>
    <row r="109" spans="1:13" x14ac:dyDescent="0.25">
      <c r="A109" s="8">
        <v>38615</v>
      </c>
      <c r="B109" s="9">
        <v>2005.7180000000001</v>
      </c>
      <c r="C109">
        <f t="shared" si="14"/>
        <v>5376</v>
      </c>
      <c r="D109" s="10">
        <v>19.54</v>
      </c>
      <c r="E109" s="20">
        <f t="shared" si="15"/>
        <v>-4.7746523257331591E-3</v>
      </c>
      <c r="F109" s="18">
        <f t="shared" si="16"/>
        <v>10.410989021482735</v>
      </c>
      <c r="G109" s="14">
        <f t="shared" si="17"/>
        <v>340.34049415306288</v>
      </c>
      <c r="H109" s="14">
        <f t="shared" si="19"/>
        <v>-0.31224318002921336</v>
      </c>
      <c r="I109" s="19">
        <f t="shared" si="18"/>
        <v>-9.174435172818043E-4</v>
      </c>
      <c r="J109" s="14">
        <f t="shared" si="20"/>
        <v>20.029094153062886</v>
      </c>
      <c r="K109" s="14">
        <f t="shared" si="24"/>
        <v>8.9927745435101087</v>
      </c>
      <c r="L109" s="14">
        <f t="shared" si="24"/>
        <v>6.0543467562281114E-2</v>
      </c>
      <c r="M109" s="20">
        <f t="shared" si="23"/>
        <v>2.6751903691055387E-2</v>
      </c>
    </row>
    <row r="110" spans="1:13" x14ac:dyDescent="0.25">
      <c r="A110" s="8">
        <v>38622</v>
      </c>
      <c r="B110" s="9">
        <v>2005.7370000000001</v>
      </c>
      <c r="C110">
        <f t="shared" si="14"/>
        <v>5383</v>
      </c>
      <c r="D110" s="10">
        <v>19.54</v>
      </c>
      <c r="E110" s="20">
        <f t="shared" si="15"/>
        <v>0</v>
      </c>
      <c r="F110" s="18">
        <f t="shared" si="16"/>
        <v>10.410989021482735</v>
      </c>
      <c r="G110" s="14">
        <f t="shared" si="17"/>
        <v>340.34049415306288</v>
      </c>
      <c r="H110" s="14">
        <f t="shared" si="19"/>
        <v>0</v>
      </c>
      <c r="I110" s="19">
        <f t="shared" si="18"/>
        <v>0</v>
      </c>
      <c r="J110" s="14">
        <f t="shared" si="20"/>
        <v>20.029094153062886</v>
      </c>
      <c r="K110" s="14">
        <f t="shared" si="24"/>
        <v>8.9927745435101087</v>
      </c>
      <c r="L110" s="14">
        <f t="shared" si="24"/>
        <v>6.0543467562281114E-2</v>
      </c>
      <c r="M110" s="20">
        <f t="shared" si="23"/>
        <v>2.6751903691055387E-2</v>
      </c>
    </row>
    <row r="111" spans="1:13" x14ac:dyDescent="0.25">
      <c r="A111" s="8">
        <v>38629</v>
      </c>
      <c r="B111" s="9">
        <v>2005.7560000000001</v>
      </c>
      <c r="C111">
        <f t="shared" si="14"/>
        <v>5390</v>
      </c>
      <c r="D111" s="10">
        <v>20.440000000000001</v>
      </c>
      <c r="E111" s="20">
        <f t="shared" si="15"/>
        <v>1.4323956977199478E-2</v>
      </c>
      <c r="F111" s="18">
        <f t="shared" si="16"/>
        <v>10.425312978459933</v>
      </c>
      <c r="G111" s="14">
        <f t="shared" si="17"/>
        <v>341.27765319437373</v>
      </c>
      <c r="H111" s="14">
        <f t="shared" si="19"/>
        <v>0.93715904131084926</v>
      </c>
      <c r="I111" s="19">
        <f t="shared" si="18"/>
        <v>2.7460310762776282E-3</v>
      </c>
      <c r="J111" s="14">
        <f t="shared" si="20"/>
        <v>20.966253194373735</v>
      </c>
      <c r="K111" s="14">
        <f t="shared" ref="K111:L126" si="25">H111+K110</f>
        <v>9.929933584820958</v>
      </c>
      <c r="L111" s="14">
        <f t="shared" si="25"/>
        <v>6.3289498638558747E-2</v>
      </c>
      <c r="M111" s="20">
        <f t="shared" si="23"/>
        <v>2.9497934767333017E-2</v>
      </c>
    </row>
    <row r="112" spans="1:13" x14ac:dyDescent="0.25">
      <c r="A112" s="8">
        <v>38636</v>
      </c>
      <c r="B112" s="9">
        <v>2005.7750000000001</v>
      </c>
      <c r="C112">
        <f t="shared" si="14"/>
        <v>5397</v>
      </c>
      <c r="D112" s="10">
        <v>20.84</v>
      </c>
      <c r="E112" s="20">
        <f t="shared" si="15"/>
        <v>6.3662031009775076E-3</v>
      </c>
      <c r="F112" s="18">
        <f t="shared" si="16"/>
        <v>10.431679181560911</v>
      </c>
      <c r="G112" s="14">
        <f t="shared" si="17"/>
        <v>341.69458191761555</v>
      </c>
      <c r="H112" s="14">
        <f t="shared" si="19"/>
        <v>0.41692872324182417</v>
      </c>
      <c r="I112" s="19">
        <f t="shared" si="18"/>
        <v>1.2201794974388794E-3</v>
      </c>
      <c r="J112" s="14">
        <f t="shared" si="20"/>
        <v>21.383181917615559</v>
      </c>
      <c r="K112" s="14">
        <f t="shared" si="25"/>
        <v>10.346862308062782</v>
      </c>
      <c r="L112" s="14">
        <f t="shared" si="25"/>
        <v>6.4509678135997631E-2</v>
      </c>
      <c r="M112" s="20">
        <f t="shared" si="23"/>
        <v>3.0718114264771897E-2</v>
      </c>
    </row>
    <row r="113" spans="1:13" x14ac:dyDescent="0.25">
      <c r="A113" s="8">
        <v>38643</v>
      </c>
      <c r="B113" s="9">
        <v>2005.7950000000001</v>
      </c>
      <c r="C113">
        <f t="shared" si="14"/>
        <v>5404</v>
      </c>
      <c r="D113" s="10">
        <v>20.94</v>
      </c>
      <c r="E113" s="20">
        <f t="shared" si="15"/>
        <v>1.5915507752444053E-3</v>
      </c>
      <c r="F113" s="18">
        <f t="shared" si="16"/>
        <v>10.433270732336155</v>
      </c>
      <c r="G113" s="14">
        <f t="shared" si="17"/>
        <v>341.79885386705769</v>
      </c>
      <c r="H113" s="14">
        <f t="shared" si="19"/>
        <v>0.10427194944213625</v>
      </c>
      <c r="I113" s="19">
        <f t="shared" si="18"/>
        <v>3.0506816585959854E-4</v>
      </c>
      <c r="J113" s="14">
        <f t="shared" si="20"/>
        <v>21.487453867057695</v>
      </c>
      <c r="K113" s="14">
        <f t="shared" si="25"/>
        <v>10.451134257504918</v>
      </c>
      <c r="L113" s="14">
        <f t="shared" si="25"/>
        <v>6.4814746301857226E-2</v>
      </c>
      <c r="M113" s="20">
        <f t="shared" si="23"/>
        <v>3.1023182430631496E-2</v>
      </c>
    </row>
    <row r="114" spans="1:13" x14ac:dyDescent="0.25">
      <c r="A114" s="8">
        <v>38650</v>
      </c>
      <c r="B114" s="9">
        <v>2005.8140000000001</v>
      </c>
      <c r="C114">
        <f t="shared" si="14"/>
        <v>5411</v>
      </c>
      <c r="D114" s="10">
        <v>20.94</v>
      </c>
      <c r="E114" s="20">
        <f t="shared" si="15"/>
        <v>0</v>
      </c>
      <c r="F114" s="18">
        <f t="shared" si="16"/>
        <v>10.433270732336155</v>
      </c>
      <c r="G114" s="14">
        <f t="shared" si="17"/>
        <v>341.79885386705769</v>
      </c>
      <c r="H114" s="14">
        <f t="shared" si="19"/>
        <v>0</v>
      </c>
      <c r="I114" s="19">
        <f t="shared" si="18"/>
        <v>0</v>
      </c>
      <c r="J114" s="14">
        <f t="shared" si="20"/>
        <v>21.487453867057695</v>
      </c>
      <c r="K114" s="14">
        <f t="shared" si="25"/>
        <v>10.451134257504918</v>
      </c>
      <c r="L114" s="14">
        <f t="shared" si="25"/>
        <v>6.4814746301857226E-2</v>
      </c>
      <c r="M114" s="20">
        <f t="shared" si="23"/>
        <v>3.1023182430631496E-2</v>
      </c>
    </row>
    <row r="115" spans="1:13" x14ac:dyDescent="0.25">
      <c r="A115" s="8">
        <v>38664</v>
      </c>
      <c r="B115" s="9">
        <v>2005.8520000000001</v>
      </c>
      <c r="C115">
        <f t="shared" si="14"/>
        <v>5425</v>
      </c>
      <c r="D115" s="10">
        <v>20.84</v>
      </c>
      <c r="E115" s="20">
        <f t="shared" si="15"/>
        <v>-1.5915507752444053E-3</v>
      </c>
      <c r="F115" s="18">
        <f t="shared" si="16"/>
        <v>10.431679181560911</v>
      </c>
      <c r="G115" s="14">
        <f t="shared" si="17"/>
        <v>341.69458191761555</v>
      </c>
      <c r="H115" s="14">
        <f t="shared" si="19"/>
        <v>-0.10427194944213625</v>
      </c>
      <c r="I115" s="19">
        <f t="shared" si="18"/>
        <v>-3.0516126084573615E-4</v>
      </c>
      <c r="J115" s="14">
        <f t="shared" si="20"/>
        <v>21.383181917615559</v>
      </c>
      <c r="K115" s="14">
        <f t="shared" si="25"/>
        <v>10.346862308062782</v>
      </c>
      <c r="L115" s="14">
        <f t="shared" si="25"/>
        <v>6.4509585041011494E-2</v>
      </c>
      <c r="M115" s="20">
        <f t="shared" si="23"/>
        <v>3.071802116978576E-2</v>
      </c>
    </row>
    <row r="116" spans="1:13" x14ac:dyDescent="0.25">
      <c r="A116" s="8">
        <v>38678</v>
      </c>
      <c r="B116" s="9">
        <v>2005.89</v>
      </c>
      <c r="C116">
        <f t="shared" si="14"/>
        <v>5439</v>
      </c>
      <c r="D116" s="10">
        <v>20.84</v>
      </c>
      <c r="E116" s="20">
        <f t="shared" si="15"/>
        <v>0</v>
      </c>
      <c r="F116" s="18">
        <f t="shared" si="16"/>
        <v>10.431679181560911</v>
      </c>
      <c r="G116" s="14">
        <f t="shared" si="17"/>
        <v>341.69458191761555</v>
      </c>
      <c r="H116" s="14">
        <f t="shared" si="19"/>
        <v>0</v>
      </c>
      <c r="I116" s="19">
        <f t="shared" si="18"/>
        <v>0</v>
      </c>
      <c r="J116" s="14">
        <f t="shared" si="20"/>
        <v>21.383181917615559</v>
      </c>
      <c r="K116" s="14">
        <f t="shared" si="25"/>
        <v>10.346862308062782</v>
      </c>
      <c r="L116" s="14">
        <f t="shared" si="25"/>
        <v>6.4509585041011494E-2</v>
      </c>
      <c r="M116" s="20">
        <f t="shared" si="23"/>
        <v>3.071802116978576E-2</v>
      </c>
    </row>
    <row r="117" spans="1:13" x14ac:dyDescent="0.25">
      <c r="A117" s="8">
        <v>38692</v>
      </c>
      <c r="B117" s="9">
        <v>2005.9290000000001</v>
      </c>
      <c r="C117">
        <f t="shared" si="14"/>
        <v>5453</v>
      </c>
      <c r="D117" s="10">
        <v>20.84</v>
      </c>
      <c r="E117" s="20">
        <f t="shared" si="15"/>
        <v>0</v>
      </c>
      <c r="F117" s="18">
        <f t="shared" si="16"/>
        <v>10.431679181560911</v>
      </c>
      <c r="G117" s="14">
        <f t="shared" si="17"/>
        <v>341.69458191761555</v>
      </c>
      <c r="H117" s="14">
        <f t="shared" si="19"/>
        <v>0</v>
      </c>
      <c r="I117" s="19">
        <f t="shared" si="18"/>
        <v>0</v>
      </c>
      <c r="J117" s="14">
        <f t="shared" si="20"/>
        <v>21.383181917615559</v>
      </c>
      <c r="K117" s="14">
        <f t="shared" si="25"/>
        <v>10.346862308062782</v>
      </c>
      <c r="L117" s="14">
        <f t="shared" si="25"/>
        <v>6.4509585041011494E-2</v>
      </c>
      <c r="M117" s="20">
        <f t="shared" si="23"/>
        <v>3.071802116978576E-2</v>
      </c>
    </row>
    <row r="118" spans="1:13" x14ac:dyDescent="0.25">
      <c r="A118" s="8">
        <v>38706</v>
      </c>
      <c r="B118" s="9">
        <v>2005.9670000000001</v>
      </c>
      <c r="C118">
        <f t="shared" si="14"/>
        <v>5467</v>
      </c>
      <c r="D118" s="10">
        <v>20.84</v>
      </c>
      <c r="E118" s="20">
        <f t="shared" si="15"/>
        <v>0</v>
      </c>
      <c r="F118" s="18">
        <f t="shared" si="16"/>
        <v>10.431679181560911</v>
      </c>
      <c r="G118" s="14">
        <f t="shared" si="17"/>
        <v>341.69458191761555</v>
      </c>
      <c r="H118" s="14">
        <f t="shared" si="19"/>
        <v>0</v>
      </c>
      <c r="I118" s="19">
        <f t="shared" si="18"/>
        <v>0</v>
      </c>
      <c r="J118" s="14">
        <f t="shared" si="20"/>
        <v>21.383181917615559</v>
      </c>
      <c r="K118" s="14">
        <f t="shared" si="25"/>
        <v>10.346862308062782</v>
      </c>
      <c r="L118" s="14">
        <f t="shared" si="25"/>
        <v>6.4509585041011494E-2</v>
      </c>
      <c r="M118" s="20">
        <f t="shared" si="23"/>
        <v>3.071802116978576E-2</v>
      </c>
    </row>
    <row r="119" spans="1:13" x14ac:dyDescent="0.25">
      <c r="A119" s="8">
        <v>38734</v>
      </c>
      <c r="B119" s="9">
        <v>2006.0440000000001</v>
      </c>
      <c r="C119">
        <f t="shared" si="14"/>
        <v>5495</v>
      </c>
      <c r="D119" s="10">
        <v>20.84</v>
      </c>
      <c r="E119" s="20">
        <f t="shared" si="15"/>
        <v>0</v>
      </c>
      <c r="F119" s="18">
        <f t="shared" si="16"/>
        <v>10.431679181560911</v>
      </c>
      <c r="G119" s="14">
        <f t="shared" si="17"/>
        <v>341.69458191761555</v>
      </c>
      <c r="H119" s="14">
        <f t="shared" si="19"/>
        <v>0</v>
      </c>
      <c r="I119" s="19">
        <f t="shared" si="18"/>
        <v>0</v>
      </c>
      <c r="J119" s="14">
        <f t="shared" si="20"/>
        <v>21.383181917615559</v>
      </c>
      <c r="K119" s="14">
        <f>H119</f>
        <v>0</v>
      </c>
      <c r="L119" s="14">
        <f t="shared" si="25"/>
        <v>6.4509585041011494E-2</v>
      </c>
      <c r="M119" s="20">
        <f>I119</f>
        <v>0</v>
      </c>
    </row>
    <row r="120" spans="1:13" x14ac:dyDescent="0.25">
      <c r="A120" s="8">
        <v>38755</v>
      </c>
      <c r="B120" s="9">
        <v>2006.104</v>
      </c>
      <c r="C120">
        <f t="shared" si="14"/>
        <v>5516</v>
      </c>
      <c r="D120" s="10">
        <v>20.94</v>
      </c>
      <c r="E120" s="20">
        <f t="shared" si="15"/>
        <v>1.5915507752444053E-3</v>
      </c>
      <c r="F120" s="18">
        <f t="shared" si="16"/>
        <v>10.433270732336155</v>
      </c>
      <c r="G120" s="14">
        <f t="shared" si="17"/>
        <v>341.79885386705769</v>
      </c>
      <c r="H120" s="14">
        <f t="shared" si="19"/>
        <v>0.10427194944213625</v>
      </c>
      <c r="I120" s="19">
        <f t="shared" si="18"/>
        <v>3.0506816585959854E-4</v>
      </c>
      <c r="J120" s="14">
        <f t="shared" si="20"/>
        <v>21.487453867057695</v>
      </c>
      <c r="K120" s="14">
        <f t="shared" ref="K120:L135" si="26">H120+K119</f>
        <v>0.10427194944213625</v>
      </c>
      <c r="L120" s="14">
        <f t="shared" si="25"/>
        <v>6.481465320687109E-2</v>
      </c>
      <c r="M120" s="20">
        <f t="shared" ref="M120:M155" si="27">I120+M119</f>
        <v>3.0506816585959854E-4</v>
      </c>
    </row>
    <row r="121" spans="1:13" x14ac:dyDescent="0.25">
      <c r="A121" s="8">
        <v>38771</v>
      </c>
      <c r="B121" s="9">
        <v>2006.1479999999999</v>
      </c>
      <c r="C121">
        <f t="shared" si="14"/>
        <v>5532</v>
      </c>
      <c r="D121" s="10">
        <v>20.84</v>
      </c>
      <c r="E121" s="20">
        <f t="shared" si="15"/>
        <v>-1.5915507752444053E-3</v>
      </c>
      <c r="F121" s="18">
        <f t="shared" si="16"/>
        <v>10.431679181560911</v>
      </c>
      <c r="G121" s="14">
        <f t="shared" si="17"/>
        <v>341.69458191761555</v>
      </c>
      <c r="H121" s="14">
        <f t="shared" si="19"/>
        <v>-0.10427194944213625</v>
      </c>
      <c r="I121" s="19">
        <f t="shared" si="18"/>
        <v>-3.0516126084573615E-4</v>
      </c>
      <c r="J121" s="14">
        <f t="shared" si="20"/>
        <v>21.383181917615559</v>
      </c>
      <c r="K121" s="14">
        <f t="shared" si="26"/>
        <v>0</v>
      </c>
      <c r="L121" s="14">
        <f t="shared" si="25"/>
        <v>6.4509491946025357E-2</v>
      </c>
      <c r="M121" s="20">
        <f t="shared" si="27"/>
        <v>-9.3094986137608367E-8</v>
      </c>
    </row>
    <row r="122" spans="1:13" x14ac:dyDescent="0.25">
      <c r="A122" s="8">
        <v>38783</v>
      </c>
      <c r="B122" s="9">
        <v>2006.18</v>
      </c>
      <c r="C122">
        <f t="shared" si="14"/>
        <v>5544</v>
      </c>
      <c r="D122" s="10">
        <v>20.84</v>
      </c>
      <c r="E122" s="20">
        <f t="shared" si="15"/>
        <v>0</v>
      </c>
      <c r="F122" s="18">
        <f t="shared" si="16"/>
        <v>10.431679181560911</v>
      </c>
      <c r="G122" s="14">
        <f t="shared" si="17"/>
        <v>341.69458191761555</v>
      </c>
      <c r="H122" s="14">
        <f t="shared" si="19"/>
        <v>0</v>
      </c>
      <c r="I122" s="19">
        <f t="shared" si="18"/>
        <v>0</v>
      </c>
      <c r="J122" s="14">
        <f t="shared" si="20"/>
        <v>21.383181917615559</v>
      </c>
      <c r="K122" s="14">
        <f t="shared" si="26"/>
        <v>0</v>
      </c>
      <c r="L122" s="14">
        <f t="shared" si="25"/>
        <v>6.4509491946025357E-2</v>
      </c>
      <c r="M122" s="20">
        <f t="shared" si="27"/>
        <v>-9.3094986137608367E-8</v>
      </c>
    </row>
    <row r="123" spans="1:13" x14ac:dyDescent="0.25">
      <c r="A123" s="8">
        <v>38797</v>
      </c>
      <c r="B123" s="9">
        <v>2006.2190000000001</v>
      </c>
      <c r="C123">
        <f t="shared" si="14"/>
        <v>5558</v>
      </c>
      <c r="D123" s="10">
        <v>20.84</v>
      </c>
      <c r="E123" s="20">
        <f t="shared" si="15"/>
        <v>0</v>
      </c>
      <c r="F123" s="18">
        <f t="shared" si="16"/>
        <v>10.431679181560911</v>
      </c>
      <c r="G123" s="14">
        <f t="shared" si="17"/>
        <v>341.69458191761555</v>
      </c>
      <c r="H123" s="14">
        <f t="shared" si="19"/>
        <v>0</v>
      </c>
      <c r="I123" s="19">
        <f t="shared" si="18"/>
        <v>0</v>
      </c>
      <c r="J123" s="14">
        <f t="shared" si="20"/>
        <v>21.383181917615559</v>
      </c>
      <c r="K123" s="14">
        <f t="shared" si="26"/>
        <v>0</v>
      </c>
      <c r="L123" s="14">
        <f t="shared" si="25"/>
        <v>6.4509491946025357E-2</v>
      </c>
      <c r="M123" s="20">
        <f t="shared" si="27"/>
        <v>-9.3094986137608367E-8</v>
      </c>
    </row>
    <row r="124" spans="1:13" x14ac:dyDescent="0.25">
      <c r="A124" s="8">
        <v>38811</v>
      </c>
      <c r="B124" s="9">
        <v>2006.2570000000001</v>
      </c>
      <c r="C124">
        <f t="shared" si="14"/>
        <v>5572</v>
      </c>
      <c r="D124" s="10">
        <v>20.84</v>
      </c>
      <c r="E124" s="20">
        <f t="shared" si="15"/>
        <v>0</v>
      </c>
      <c r="F124" s="18">
        <f t="shared" si="16"/>
        <v>10.431679181560911</v>
      </c>
      <c r="G124" s="14">
        <f t="shared" si="17"/>
        <v>341.69458191761555</v>
      </c>
      <c r="H124" s="14">
        <f t="shared" si="19"/>
        <v>0</v>
      </c>
      <c r="I124" s="19">
        <f t="shared" si="18"/>
        <v>0</v>
      </c>
      <c r="J124" s="14">
        <f t="shared" si="20"/>
        <v>21.383181917615559</v>
      </c>
      <c r="K124" s="14">
        <f t="shared" si="26"/>
        <v>0</v>
      </c>
      <c r="L124" s="14">
        <f t="shared" si="25"/>
        <v>6.4509491946025357E-2</v>
      </c>
      <c r="M124" s="20">
        <f t="shared" si="27"/>
        <v>-9.3094986137608367E-8</v>
      </c>
    </row>
    <row r="125" spans="1:13" x14ac:dyDescent="0.25">
      <c r="A125" s="8">
        <v>38818</v>
      </c>
      <c r="B125" s="9">
        <v>2006.2760000000001</v>
      </c>
      <c r="C125">
        <f t="shared" si="14"/>
        <v>5579</v>
      </c>
      <c r="D125" s="10">
        <v>21.14</v>
      </c>
      <c r="E125" s="20">
        <f t="shared" si="15"/>
        <v>4.7746523257331591E-3</v>
      </c>
      <c r="F125" s="18">
        <f t="shared" si="16"/>
        <v>10.436453833886643</v>
      </c>
      <c r="G125" s="14">
        <f t="shared" si="17"/>
        <v>342.00744548830028</v>
      </c>
      <c r="H125" s="14">
        <f t="shared" si="19"/>
        <v>0.31286357068472626</v>
      </c>
      <c r="I125" s="19">
        <f t="shared" si="18"/>
        <v>9.1478584695147813E-4</v>
      </c>
      <c r="J125" s="14">
        <f t="shared" si="20"/>
        <v>21.696045488300285</v>
      </c>
      <c r="K125" s="14">
        <f t="shared" si="26"/>
        <v>0.31286357068472626</v>
      </c>
      <c r="L125" s="14">
        <f t="shared" si="25"/>
        <v>6.542427779297684E-2</v>
      </c>
      <c r="M125" s="20">
        <f t="shared" si="27"/>
        <v>9.1469275196534052E-4</v>
      </c>
    </row>
    <row r="126" spans="1:13" x14ac:dyDescent="0.25">
      <c r="A126" s="8">
        <v>38825</v>
      </c>
      <c r="B126" s="9">
        <v>2006.2950000000001</v>
      </c>
      <c r="C126">
        <f t="shared" si="14"/>
        <v>5586</v>
      </c>
      <c r="D126" s="10">
        <v>22.39</v>
      </c>
      <c r="E126" s="20">
        <f t="shared" si="15"/>
        <v>1.9894384690554785E-2</v>
      </c>
      <c r="F126" s="18">
        <f t="shared" si="16"/>
        <v>10.456348218577197</v>
      </c>
      <c r="G126" s="14">
        <f t="shared" si="17"/>
        <v>343.31258473396753</v>
      </c>
      <c r="H126" s="14">
        <f t="shared" si="19"/>
        <v>1.3051392456672488</v>
      </c>
      <c r="I126" s="19">
        <f t="shared" si="18"/>
        <v>3.801606185449332E-3</v>
      </c>
      <c r="J126" s="14">
        <f t="shared" si="20"/>
        <v>23.001184733967534</v>
      </c>
      <c r="K126" s="14">
        <f t="shared" si="26"/>
        <v>1.6180028163519751</v>
      </c>
      <c r="L126" s="14">
        <f t="shared" si="25"/>
        <v>6.9225883978426175E-2</v>
      </c>
      <c r="M126" s="20">
        <f t="shared" si="27"/>
        <v>4.7162989374146726E-3</v>
      </c>
    </row>
    <row r="127" spans="1:13" x14ac:dyDescent="0.25">
      <c r="A127" s="8">
        <v>38832</v>
      </c>
      <c r="B127" s="9">
        <v>2006.3140000000001</v>
      </c>
      <c r="C127">
        <f t="shared" si="14"/>
        <v>5593</v>
      </c>
      <c r="D127" s="10">
        <v>23.54</v>
      </c>
      <c r="E127" s="20">
        <f t="shared" si="15"/>
        <v>1.8302833915310377E-2</v>
      </c>
      <c r="F127" s="18">
        <f t="shared" si="16"/>
        <v>10.474651052492508</v>
      </c>
      <c r="G127" s="14">
        <f t="shared" si="17"/>
        <v>344.51550806845478</v>
      </c>
      <c r="H127" s="14">
        <f t="shared" si="19"/>
        <v>1.2029233344872523</v>
      </c>
      <c r="I127" s="19">
        <f t="shared" si="18"/>
        <v>3.49163769500975E-3</v>
      </c>
      <c r="J127" s="14">
        <f t="shared" si="20"/>
        <v>24.204108068454786</v>
      </c>
      <c r="K127" s="14">
        <f t="shared" si="26"/>
        <v>2.8209261508392274</v>
      </c>
      <c r="L127" s="14">
        <f t="shared" si="26"/>
        <v>7.2717521673435925E-2</v>
      </c>
      <c r="M127" s="20">
        <f t="shared" si="27"/>
        <v>8.2079366324244226E-3</v>
      </c>
    </row>
    <row r="128" spans="1:13" x14ac:dyDescent="0.25">
      <c r="A128" s="8">
        <v>38839</v>
      </c>
      <c r="B128" s="9">
        <v>2006.3330000000001</v>
      </c>
      <c r="C128">
        <f t="shared" si="14"/>
        <v>5600</v>
      </c>
      <c r="D128" s="10">
        <v>24.94</v>
      </c>
      <c r="E128" s="20">
        <f t="shared" si="15"/>
        <v>2.2281710853421392E-2</v>
      </c>
      <c r="F128" s="18">
        <f t="shared" si="16"/>
        <v>10.49693276334593</v>
      </c>
      <c r="G128" s="14">
        <f t="shared" si="17"/>
        <v>345.98277595596443</v>
      </c>
      <c r="H128" s="14">
        <f t="shared" si="19"/>
        <v>1.4672678875096494</v>
      </c>
      <c r="I128" s="19">
        <f t="shared" si="18"/>
        <v>4.2408697469275133E-3</v>
      </c>
      <c r="J128" s="14">
        <f t="shared" si="20"/>
        <v>25.671375955964436</v>
      </c>
      <c r="K128" s="14">
        <f t="shared" si="26"/>
        <v>4.2881940383488768</v>
      </c>
      <c r="L128" s="14">
        <f t="shared" si="26"/>
        <v>7.6958391420363439E-2</v>
      </c>
      <c r="M128" s="20">
        <f t="shared" si="27"/>
        <v>1.2448806379351935E-2</v>
      </c>
    </row>
    <row r="129" spans="1:13" x14ac:dyDescent="0.25">
      <c r="A129" s="8">
        <v>38848</v>
      </c>
      <c r="B129" s="9">
        <v>2006.3579999999999</v>
      </c>
      <c r="C129">
        <f t="shared" si="14"/>
        <v>5609</v>
      </c>
      <c r="D129" s="10">
        <v>26.44</v>
      </c>
      <c r="E129" s="20">
        <f t="shared" si="15"/>
        <v>2.3873261628665741E-2</v>
      </c>
      <c r="F129" s="18">
        <f t="shared" si="16"/>
        <v>10.520806024974595</v>
      </c>
      <c r="G129" s="14">
        <f t="shared" si="17"/>
        <v>347.5583085635451</v>
      </c>
      <c r="H129" s="14">
        <f t="shared" si="19"/>
        <v>1.5755326075806693</v>
      </c>
      <c r="I129" s="19">
        <f t="shared" si="18"/>
        <v>4.533146147742315E-3</v>
      </c>
      <c r="J129" s="14">
        <f t="shared" si="20"/>
        <v>27.246908563545105</v>
      </c>
      <c r="K129" s="14">
        <f t="shared" si="26"/>
        <v>5.8637266459295461</v>
      </c>
      <c r="L129" s="14">
        <f t="shared" si="26"/>
        <v>8.149153756810576E-2</v>
      </c>
      <c r="M129" s="20">
        <f t="shared" si="27"/>
        <v>1.6981952527094252E-2</v>
      </c>
    </row>
    <row r="130" spans="1:13" x14ac:dyDescent="0.25">
      <c r="A130" s="8">
        <v>38853</v>
      </c>
      <c r="B130" s="9">
        <v>2006.3720000000001</v>
      </c>
      <c r="C130">
        <f t="shared" ref="C130:C193" si="28">A130-33239</f>
        <v>5614</v>
      </c>
      <c r="D130" s="10">
        <v>27.44</v>
      </c>
      <c r="E130" s="20">
        <f t="shared" si="15"/>
        <v>1.5915507752443828E-2</v>
      </c>
      <c r="F130" s="18">
        <f t="shared" si="16"/>
        <v>10.536721532727039</v>
      </c>
      <c r="G130" s="14">
        <f t="shared" si="17"/>
        <v>348.61065206685367</v>
      </c>
      <c r="H130" s="14">
        <f t="shared" si="19"/>
        <v>1.0523435033085775</v>
      </c>
      <c r="I130" s="19">
        <f t="shared" si="18"/>
        <v>3.0186785661006359E-3</v>
      </c>
      <c r="J130" s="14">
        <f t="shared" si="20"/>
        <v>28.299252066853683</v>
      </c>
      <c r="K130" s="14">
        <f t="shared" si="26"/>
        <v>6.9160701492381236</v>
      </c>
      <c r="L130" s="14">
        <f t="shared" si="26"/>
        <v>8.4510216134206395E-2</v>
      </c>
      <c r="M130" s="20">
        <f t="shared" si="27"/>
        <v>2.0000631093194887E-2</v>
      </c>
    </row>
    <row r="131" spans="1:13" x14ac:dyDescent="0.25">
      <c r="A131" s="8">
        <v>38860</v>
      </c>
      <c r="B131" s="9">
        <v>2006.3910000000001</v>
      </c>
      <c r="C131">
        <f t="shared" si="28"/>
        <v>5621</v>
      </c>
      <c r="D131" s="10">
        <v>28.34</v>
      </c>
      <c r="E131" s="20">
        <f t="shared" ref="E131:E194" si="29">((D131-D130)/10)/(2*3.14159)</f>
        <v>1.4323956977199421E-2</v>
      </c>
      <c r="F131" s="18">
        <f t="shared" ref="F131:F194" si="30">E131+F130</f>
        <v>10.551045489704238</v>
      </c>
      <c r="G131" s="14">
        <f t="shared" ref="G131:G194" si="31">3.14*(F131^2)</f>
        <v>349.55912130703757</v>
      </c>
      <c r="H131" s="14">
        <f t="shared" si="19"/>
        <v>0.948469240183897</v>
      </c>
      <c r="I131" s="19">
        <f t="shared" ref="I131:I194" si="32">H131/G131</f>
        <v>2.7133299701563294E-3</v>
      </c>
      <c r="J131" s="14">
        <f t="shared" si="20"/>
        <v>29.24772130703758</v>
      </c>
      <c r="K131" s="14">
        <f t="shared" si="26"/>
        <v>7.8645393894220206</v>
      </c>
      <c r="L131" s="14">
        <f t="shared" si="26"/>
        <v>8.7223546104362726E-2</v>
      </c>
      <c r="M131" s="20">
        <f t="shared" si="27"/>
        <v>2.2713961063351218E-2</v>
      </c>
    </row>
    <row r="132" spans="1:13" x14ac:dyDescent="0.25">
      <c r="A132" s="8">
        <v>38867</v>
      </c>
      <c r="B132" s="9">
        <v>2006.41</v>
      </c>
      <c r="C132">
        <f t="shared" si="28"/>
        <v>5628</v>
      </c>
      <c r="D132" s="10">
        <v>28.74</v>
      </c>
      <c r="E132" s="20">
        <f t="shared" si="29"/>
        <v>6.3662031009775076E-3</v>
      </c>
      <c r="F132" s="18">
        <f t="shared" si="30"/>
        <v>10.557411692805216</v>
      </c>
      <c r="G132" s="14">
        <f t="shared" si="31"/>
        <v>349.98107678533415</v>
      </c>
      <c r="H132" s="14">
        <f t="shared" ref="H132:H195" si="33">G132-G131</f>
        <v>0.42195547829658153</v>
      </c>
      <c r="I132" s="19">
        <f t="shared" si="32"/>
        <v>1.2056522660377831E-3</v>
      </c>
      <c r="J132" s="14">
        <f t="shared" ref="J132:J195" si="34">H132+J131</f>
        <v>29.669676785334161</v>
      </c>
      <c r="K132" s="14">
        <f t="shared" si="26"/>
        <v>8.2864948677186021</v>
      </c>
      <c r="L132" s="14">
        <f t="shared" si="26"/>
        <v>8.8429198370400502E-2</v>
      </c>
      <c r="M132" s="20">
        <f t="shared" si="27"/>
        <v>2.3919613329389001E-2</v>
      </c>
    </row>
    <row r="133" spans="1:13" x14ac:dyDescent="0.25">
      <c r="A133" s="8">
        <v>38875</v>
      </c>
      <c r="B133" s="9">
        <v>2006.4590000000001</v>
      </c>
      <c r="C133">
        <f t="shared" si="28"/>
        <v>5636</v>
      </c>
      <c r="D133" s="10">
        <v>29.54</v>
      </c>
      <c r="E133" s="20">
        <f t="shared" si="29"/>
        <v>1.2732406201955072E-2</v>
      </c>
      <c r="F133" s="18">
        <f t="shared" si="30"/>
        <v>10.570144099007171</v>
      </c>
      <c r="G133" s="14">
        <f t="shared" si="31"/>
        <v>350.82575129965704</v>
      </c>
      <c r="H133" s="14">
        <f t="shared" si="33"/>
        <v>0.84467451432288954</v>
      </c>
      <c r="I133" s="19">
        <f t="shared" si="32"/>
        <v>2.4076753522047265E-3</v>
      </c>
      <c r="J133" s="14">
        <f t="shared" si="34"/>
        <v>30.514351299657051</v>
      </c>
      <c r="K133" s="14">
        <f t="shared" si="26"/>
        <v>9.1311693820414916</v>
      </c>
      <c r="L133" s="14">
        <f t="shared" si="26"/>
        <v>9.0836873722605224E-2</v>
      </c>
      <c r="M133" s="20">
        <f t="shared" si="27"/>
        <v>2.6327288681593727E-2</v>
      </c>
    </row>
    <row r="134" spans="1:13" x14ac:dyDescent="0.25">
      <c r="A134" s="8">
        <v>38881</v>
      </c>
      <c r="B134" s="9">
        <v>2006.4480000000001</v>
      </c>
      <c r="C134">
        <f t="shared" si="28"/>
        <v>5642</v>
      </c>
      <c r="D134" s="10">
        <v>29.64</v>
      </c>
      <c r="E134" s="20">
        <f t="shared" si="29"/>
        <v>1.5915507752444053E-3</v>
      </c>
      <c r="F134" s="18">
        <f t="shared" si="30"/>
        <v>10.571735649782415</v>
      </c>
      <c r="G134" s="14">
        <f t="shared" si="31"/>
        <v>350.93140719748453</v>
      </c>
      <c r="H134" s="14">
        <f t="shared" si="33"/>
        <v>0.1056558978274893</v>
      </c>
      <c r="I134" s="19">
        <f t="shared" si="32"/>
        <v>3.0107278989717804E-4</v>
      </c>
      <c r="J134" s="14">
        <f t="shared" si="34"/>
        <v>30.62000719748454</v>
      </c>
      <c r="K134" s="14">
        <f t="shared" si="26"/>
        <v>9.2368252798689809</v>
      </c>
      <c r="L134" s="14">
        <f t="shared" si="26"/>
        <v>9.1137946512502399E-2</v>
      </c>
      <c r="M134" s="20">
        <f t="shared" si="27"/>
        <v>2.6628361471490905E-2</v>
      </c>
    </row>
    <row r="135" spans="1:13" x14ac:dyDescent="0.25">
      <c r="A135" s="8">
        <v>38888</v>
      </c>
      <c r="B135" s="9">
        <v>2006.4670000000001</v>
      </c>
      <c r="C135">
        <f t="shared" si="28"/>
        <v>5649</v>
      </c>
      <c r="D135" s="10">
        <v>29.14</v>
      </c>
      <c r="E135" s="20">
        <f t="shared" si="29"/>
        <v>-7.9577538762219142E-3</v>
      </c>
      <c r="F135" s="18">
        <f t="shared" si="30"/>
        <v>10.563777895906194</v>
      </c>
      <c r="G135" s="14">
        <f t="shared" si="31"/>
        <v>350.40328678287398</v>
      </c>
      <c r="H135" s="14">
        <f t="shared" si="33"/>
        <v>-0.52812041461055514</v>
      </c>
      <c r="I135" s="19">
        <f t="shared" si="32"/>
        <v>-1.5071788266010271E-3</v>
      </c>
      <c r="J135" s="14">
        <f t="shared" si="34"/>
        <v>30.091886782873985</v>
      </c>
      <c r="K135" s="14">
        <f t="shared" si="26"/>
        <v>8.7087048652584258</v>
      </c>
      <c r="L135" s="14">
        <f t="shared" si="26"/>
        <v>8.9630767685901377E-2</v>
      </c>
      <c r="M135" s="20">
        <f t="shared" si="27"/>
        <v>2.5121182644889876E-2</v>
      </c>
    </row>
    <row r="136" spans="1:13" x14ac:dyDescent="0.25">
      <c r="A136" s="8">
        <v>38895</v>
      </c>
      <c r="B136" s="9">
        <v>2006.4860000000001</v>
      </c>
      <c r="C136">
        <f t="shared" si="28"/>
        <v>5656</v>
      </c>
      <c r="D136" s="10">
        <v>29.24</v>
      </c>
      <c r="E136" s="20">
        <f t="shared" si="29"/>
        <v>1.5915507752443487E-3</v>
      </c>
      <c r="F136" s="18">
        <f t="shared" si="30"/>
        <v>10.565369446681437</v>
      </c>
      <c r="G136" s="14">
        <f t="shared" si="31"/>
        <v>350.50887905089064</v>
      </c>
      <c r="H136" s="14">
        <f t="shared" si="33"/>
        <v>0.10559226801666455</v>
      </c>
      <c r="I136" s="19">
        <f t="shared" si="32"/>
        <v>3.0125418877429788E-4</v>
      </c>
      <c r="J136" s="14">
        <f t="shared" si="34"/>
        <v>30.197479050890649</v>
      </c>
      <c r="K136" s="14">
        <f t="shared" ref="K136:L151" si="35">H136+K135</f>
        <v>8.8142971332750903</v>
      </c>
      <c r="L136" s="14">
        <f t="shared" si="35"/>
        <v>8.993202187467568E-2</v>
      </c>
      <c r="M136" s="20">
        <f t="shared" si="27"/>
        <v>2.5422436833664176E-2</v>
      </c>
    </row>
    <row r="137" spans="1:13" x14ac:dyDescent="0.25">
      <c r="A137" s="8">
        <v>38902</v>
      </c>
      <c r="B137" s="9">
        <v>2006.5050000000001</v>
      </c>
      <c r="C137">
        <f t="shared" si="28"/>
        <v>5663</v>
      </c>
      <c r="D137" s="10">
        <v>29.14</v>
      </c>
      <c r="E137" s="20">
        <f t="shared" si="29"/>
        <v>-1.5915507752443487E-3</v>
      </c>
      <c r="F137" s="18">
        <f t="shared" si="30"/>
        <v>10.563777895906194</v>
      </c>
      <c r="G137" s="14">
        <f t="shared" si="31"/>
        <v>350.40328678287398</v>
      </c>
      <c r="H137" s="14">
        <f t="shared" si="33"/>
        <v>-0.10559226801666455</v>
      </c>
      <c r="I137" s="19">
        <f t="shared" si="32"/>
        <v>-3.0134497020883937E-4</v>
      </c>
      <c r="J137" s="14">
        <f t="shared" si="34"/>
        <v>30.091886782873985</v>
      </c>
      <c r="K137" s="14">
        <f t="shared" si="35"/>
        <v>8.7087048652584258</v>
      </c>
      <c r="L137" s="14">
        <f t="shared" si="35"/>
        <v>8.9630676904466841E-2</v>
      </c>
      <c r="M137" s="20">
        <f t="shared" si="27"/>
        <v>2.5121091863455337E-2</v>
      </c>
    </row>
    <row r="138" spans="1:13" x14ac:dyDescent="0.25">
      <c r="A138" s="8">
        <v>38909</v>
      </c>
      <c r="B138" s="9">
        <v>2006.5250000000001</v>
      </c>
      <c r="C138">
        <f t="shared" si="28"/>
        <v>5670</v>
      </c>
      <c r="D138" s="10">
        <v>29.99</v>
      </c>
      <c r="E138" s="20">
        <f t="shared" si="29"/>
        <v>1.3528181589577219E-2</v>
      </c>
      <c r="F138" s="18">
        <f t="shared" si="30"/>
        <v>10.577306077495772</v>
      </c>
      <c r="G138" s="14">
        <f t="shared" si="31"/>
        <v>351.30132811107103</v>
      </c>
      <c r="H138" s="14">
        <f t="shared" si="33"/>
        <v>0.89804132819705274</v>
      </c>
      <c r="I138" s="19">
        <f t="shared" si="32"/>
        <v>2.5563277344431753E-3</v>
      </c>
      <c r="J138" s="14">
        <f t="shared" si="34"/>
        <v>30.989928111071038</v>
      </c>
      <c r="K138" s="14">
        <f t="shared" si="35"/>
        <v>9.6067461934554785</v>
      </c>
      <c r="L138" s="14">
        <f t="shared" si="35"/>
        <v>9.2187004638910011E-2</v>
      </c>
      <c r="M138" s="20">
        <f t="shared" si="27"/>
        <v>2.767741959789851E-2</v>
      </c>
    </row>
    <row r="139" spans="1:13" x14ac:dyDescent="0.25">
      <c r="A139" s="8">
        <v>38916</v>
      </c>
      <c r="B139" s="9">
        <v>2006.5440000000001</v>
      </c>
      <c r="C139">
        <f t="shared" si="28"/>
        <v>5677</v>
      </c>
      <c r="D139" s="10">
        <v>30.29</v>
      </c>
      <c r="E139" s="20">
        <f t="shared" si="29"/>
        <v>4.7746523257331591E-3</v>
      </c>
      <c r="F139" s="18">
        <f t="shared" si="30"/>
        <v>10.582080729821504</v>
      </c>
      <c r="G139" s="14">
        <f t="shared" si="31"/>
        <v>351.61855827752322</v>
      </c>
      <c r="H139" s="14">
        <f t="shared" si="33"/>
        <v>0.31723016645219104</v>
      </c>
      <c r="I139" s="19">
        <f t="shared" si="32"/>
        <v>9.0219972462832773E-4</v>
      </c>
      <c r="J139" s="14">
        <f t="shared" si="34"/>
        <v>31.307158277523229</v>
      </c>
      <c r="K139" s="14">
        <f t="shared" si="35"/>
        <v>9.9239763599076696</v>
      </c>
      <c r="L139" s="14">
        <f t="shared" si="35"/>
        <v>9.3089204363538333E-2</v>
      </c>
      <c r="M139" s="20">
        <f t="shared" si="27"/>
        <v>2.8579619322526839E-2</v>
      </c>
    </row>
    <row r="140" spans="1:13" x14ac:dyDescent="0.25">
      <c r="A140" s="8">
        <v>38923</v>
      </c>
      <c r="B140" s="9">
        <v>2006.5630000000001</v>
      </c>
      <c r="C140">
        <f t="shared" si="28"/>
        <v>5684</v>
      </c>
      <c r="D140" s="10">
        <v>30.74</v>
      </c>
      <c r="E140" s="20">
        <f t="shared" si="29"/>
        <v>7.1619784885997104E-3</v>
      </c>
      <c r="F140" s="18">
        <f t="shared" si="30"/>
        <v>10.589242708310104</v>
      </c>
      <c r="G140" s="14">
        <f t="shared" si="31"/>
        <v>352.09467196546598</v>
      </c>
      <c r="H140" s="14">
        <f t="shared" si="33"/>
        <v>0.47611368794275677</v>
      </c>
      <c r="I140" s="19">
        <f t="shared" si="32"/>
        <v>1.3522320155684002E-3</v>
      </c>
      <c r="J140" s="14">
        <f t="shared" si="34"/>
        <v>31.783271965465985</v>
      </c>
      <c r="K140" s="14">
        <f t="shared" si="35"/>
        <v>10.400090047850426</v>
      </c>
      <c r="L140" s="14">
        <f t="shared" si="35"/>
        <v>9.4441436379106736E-2</v>
      </c>
      <c r="M140" s="20">
        <f t="shared" si="27"/>
        <v>2.9931851338095238E-2</v>
      </c>
    </row>
    <row r="141" spans="1:13" x14ac:dyDescent="0.25">
      <c r="A141" s="8">
        <v>38930</v>
      </c>
      <c r="B141" s="9">
        <v>2006.5820000000001</v>
      </c>
      <c r="C141">
        <f t="shared" si="28"/>
        <v>5691</v>
      </c>
      <c r="D141" s="10">
        <v>31.74</v>
      </c>
      <c r="E141" s="20">
        <f t="shared" si="29"/>
        <v>1.5915507752443828E-2</v>
      </c>
      <c r="F141" s="18">
        <f t="shared" si="30"/>
        <v>10.605158216062549</v>
      </c>
      <c r="G141" s="14">
        <f t="shared" si="31"/>
        <v>353.15385567343759</v>
      </c>
      <c r="H141" s="14">
        <f t="shared" si="33"/>
        <v>1.0591837079716129</v>
      </c>
      <c r="I141" s="19">
        <f t="shared" si="32"/>
        <v>2.9992132068099044E-3</v>
      </c>
      <c r="J141" s="14">
        <f t="shared" si="34"/>
        <v>32.842455673437598</v>
      </c>
      <c r="K141" s="14">
        <f t="shared" si="35"/>
        <v>11.459273755822039</v>
      </c>
      <c r="L141" s="14">
        <f t="shared" si="35"/>
        <v>9.7440649585916639E-2</v>
      </c>
      <c r="M141" s="20">
        <f t="shared" si="27"/>
        <v>3.2931064544905145E-2</v>
      </c>
    </row>
    <row r="142" spans="1:13" x14ac:dyDescent="0.25">
      <c r="A142" s="8">
        <v>38937</v>
      </c>
      <c r="B142" s="9">
        <v>2006.6010000000001</v>
      </c>
      <c r="C142">
        <f t="shared" si="28"/>
        <v>5698</v>
      </c>
      <c r="D142" s="10">
        <v>32.840000000000003</v>
      </c>
      <c r="E142" s="20">
        <f t="shared" si="29"/>
        <v>1.7507058527688288E-2</v>
      </c>
      <c r="F142" s="18">
        <f t="shared" si="30"/>
        <v>10.622665274590236</v>
      </c>
      <c r="G142" s="14">
        <f t="shared" si="31"/>
        <v>354.32079506299374</v>
      </c>
      <c r="H142" s="14">
        <f t="shared" si="33"/>
        <v>1.1669393895561484</v>
      </c>
      <c r="I142" s="19">
        <f t="shared" si="32"/>
        <v>3.2934544227038137E-3</v>
      </c>
      <c r="J142" s="14">
        <f t="shared" si="34"/>
        <v>34.009395062993747</v>
      </c>
      <c r="K142" s="14">
        <f t="shared" si="35"/>
        <v>12.626213145378188</v>
      </c>
      <c r="L142" s="14">
        <f t="shared" si="35"/>
        <v>0.10073410400862046</v>
      </c>
      <c r="M142" s="20">
        <f t="shared" si="27"/>
        <v>3.6224518967608955E-2</v>
      </c>
    </row>
    <row r="143" spans="1:13" x14ac:dyDescent="0.25">
      <c r="A143" s="8">
        <v>38946</v>
      </c>
      <c r="B143" s="9">
        <v>2006.626</v>
      </c>
      <c r="C143">
        <f t="shared" si="28"/>
        <v>5707</v>
      </c>
      <c r="D143" s="10">
        <v>33.94</v>
      </c>
      <c r="E143" s="20">
        <f t="shared" si="29"/>
        <v>1.7507058527688118E-2</v>
      </c>
      <c r="F143" s="18">
        <f t="shared" si="30"/>
        <v>10.640172333117924</v>
      </c>
      <c r="G143" s="14">
        <f t="shared" si="31"/>
        <v>355.48965925432714</v>
      </c>
      <c r="H143" s="14">
        <f t="shared" si="33"/>
        <v>1.1688641913333981</v>
      </c>
      <c r="I143" s="19">
        <f t="shared" si="32"/>
        <v>3.2880399215695902E-3</v>
      </c>
      <c r="J143" s="14">
        <f t="shared" si="34"/>
        <v>35.178259254327145</v>
      </c>
      <c r="K143" s="14">
        <f t="shared" si="35"/>
        <v>13.795077336711586</v>
      </c>
      <c r="L143" s="14">
        <f t="shared" si="35"/>
        <v>0.10402214393019005</v>
      </c>
      <c r="M143" s="20">
        <f t="shared" si="27"/>
        <v>3.9512558889178546E-2</v>
      </c>
    </row>
    <row r="144" spans="1:13" x14ac:dyDescent="0.25">
      <c r="A144" s="8">
        <v>38951</v>
      </c>
      <c r="B144" s="9">
        <v>2006.6389999999999</v>
      </c>
      <c r="C144">
        <f t="shared" si="28"/>
        <v>5712</v>
      </c>
      <c r="D144" s="10">
        <v>35.44</v>
      </c>
      <c r="E144" s="20">
        <f t="shared" si="29"/>
        <v>2.3873261628665741E-2</v>
      </c>
      <c r="F144" s="18">
        <f t="shared" si="30"/>
        <v>10.66404559474659</v>
      </c>
      <c r="G144" s="14">
        <f t="shared" si="31"/>
        <v>357.08666692305923</v>
      </c>
      <c r="H144" s="14">
        <f t="shared" si="33"/>
        <v>1.5970076687320898</v>
      </c>
      <c r="I144" s="19">
        <f t="shared" si="32"/>
        <v>4.4723251150572754E-3</v>
      </c>
      <c r="J144" s="14">
        <f t="shared" si="34"/>
        <v>36.775266923059235</v>
      </c>
      <c r="K144" s="14">
        <f t="shared" si="35"/>
        <v>15.392085005443676</v>
      </c>
      <c r="L144" s="14">
        <f t="shared" si="35"/>
        <v>0.10849446904524732</v>
      </c>
      <c r="M144" s="20">
        <f t="shared" si="27"/>
        <v>4.3984884004235822E-2</v>
      </c>
    </row>
    <row r="145" spans="1:13" x14ac:dyDescent="0.25">
      <c r="A145" s="8">
        <v>38958</v>
      </c>
      <c r="B145" s="9">
        <v>2006.6579999999999</v>
      </c>
      <c r="C145">
        <f t="shared" si="28"/>
        <v>5719</v>
      </c>
      <c r="D145" s="10">
        <v>35.54</v>
      </c>
      <c r="E145" s="20">
        <f t="shared" si="29"/>
        <v>1.5915507752444053E-3</v>
      </c>
      <c r="F145" s="18">
        <f t="shared" si="30"/>
        <v>10.665637145521833</v>
      </c>
      <c r="G145" s="14">
        <f t="shared" si="31"/>
        <v>357.1932613605963</v>
      </c>
      <c r="H145" s="14">
        <f t="shared" si="33"/>
        <v>0.1065944375370691</v>
      </c>
      <c r="I145" s="19">
        <f t="shared" si="32"/>
        <v>2.9842230822338812E-4</v>
      </c>
      <c r="J145" s="14">
        <f t="shared" si="34"/>
        <v>36.881861360596304</v>
      </c>
      <c r="K145" s="14">
        <f t="shared" si="35"/>
        <v>15.498679442980745</v>
      </c>
      <c r="L145" s="14">
        <f t="shared" si="35"/>
        <v>0.1087928913534707</v>
      </c>
      <c r="M145" s="20">
        <f t="shared" si="27"/>
        <v>4.4283306312459213E-2</v>
      </c>
    </row>
    <row r="146" spans="1:13" x14ac:dyDescent="0.25">
      <c r="A146" s="8">
        <v>38965</v>
      </c>
      <c r="B146" s="9">
        <v>2006.6780000000001</v>
      </c>
      <c r="C146">
        <f t="shared" si="28"/>
        <v>5726</v>
      </c>
      <c r="D146" s="10">
        <v>35.94</v>
      </c>
      <c r="E146" s="20">
        <f t="shared" si="29"/>
        <v>6.3662031009775076E-3</v>
      </c>
      <c r="F146" s="18">
        <f t="shared" si="30"/>
        <v>10.672003348622811</v>
      </c>
      <c r="G146" s="14">
        <f t="shared" si="31"/>
        <v>357.6197981852718</v>
      </c>
      <c r="H146" s="14">
        <f t="shared" si="33"/>
        <v>0.4265368246755088</v>
      </c>
      <c r="I146" s="19">
        <f t="shared" si="32"/>
        <v>1.192710322079353E-3</v>
      </c>
      <c r="J146" s="14">
        <f t="shared" si="34"/>
        <v>37.308398185271813</v>
      </c>
      <c r="K146" s="14">
        <f t="shared" si="35"/>
        <v>15.925216267656253</v>
      </c>
      <c r="L146" s="14">
        <f t="shared" si="35"/>
        <v>0.10998560167555005</v>
      </c>
      <c r="M146" s="20">
        <f t="shared" si="27"/>
        <v>4.5476016634538569E-2</v>
      </c>
    </row>
    <row r="147" spans="1:13" x14ac:dyDescent="0.25">
      <c r="A147" s="8">
        <v>38973</v>
      </c>
      <c r="B147" s="9">
        <v>2006.6990000000001</v>
      </c>
      <c r="C147">
        <f t="shared" si="28"/>
        <v>5734</v>
      </c>
      <c r="D147" s="10">
        <v>36.840000000000003</v>
      </c>
      <c r="E147" s="20">
        <f t="shared" si="29"/>
        <v>1.4323956977199534E-2</v>
      </c>
      <c r="F147" s="18">
        <f t="shared" si="30"/>
        <v>10.68632730560001</v>
      </c>
      <c r="G147" s="14">
        <f t="shared" si="31"/>
        <v>358.58043662677483</v>
      </c>
      <c r="H147" s="14">
        <f t="shared" si="33"/>
        <v>0.96063844150302202</v>
      </c>
      <c r="I147" s="19">
        <f t="shared" si="32"/>
        <v>2.6790040486868328E-3</v>
      </c>
      <c r="J147" s="14">
        <f t="shared" si="34"/>
        <v>38.269036626774835</v>
      </c>
      <c r="K147" s="14">
        <f t="shared" si="35"/>
        <v>16.885854709159275</v>
      </c>
      <c r="L147" s="14">
        <f t="shared" si="35"/>
        <v>0.11266460572423688</v>
      </c>
      <c r="M147" s="20">
        <f t="shared" si="27"/>
        <v>4.81550206832254E-2</v>
      </c>
    </row>
    <row r="148" spans="1:13" x14ac:dyDescent="0.25">
      <c r="A148" s="8">
        <v>38979</v>
      </c>
      <c r="B148" s="9">
        <v>2006.7159999999999</v>
      </c>
      <c r="C148">
        <f t="shared" si="28"/>
        <v>5740</v>
      </c>
      <c r="D148" s="10">
        <v>36.840000000000003</v>
      </c>
      <c r="E148" s="20">
        <f t="shared" si="29"/>
        <v>0</v>
      </c>
      <c r="F148" s="18">
        <f t="shared" si="30"/>
        <v>10.68632730560001</v>
      </c>
      <c r="G148" s="14">
        <f t="shared" si="31"/>
        <v>358.58043662677483</v>
      </c>
      <c r="H148" s="14">
        <f t="shared" si="33"/>
        <v>0</v>
      </c>
      <c r="I148" s="19">
        <f t="shared" si="32"/>
        <v>0</v>
      </c>
      <c r="J148" s="14">
        <f t="shared" si="34"/>
        <v>38.269036626774835</v>
      </c>
      <c r="K148" s="14">
        <f t="shared" si="35"/>
        <v>16.885854709159275</v>
      </c>
      <c r="L148" s="14">
        <f t="shared" si="35"/>
        <v>0.11266460572423688</v>
      </c>
      <c r="M148" s="20">
        <f t="shared" si="27"/>
        <v>4.81550206832254E-2</v>
      </c>
    </row>
    <row r="149" spans="1:13" x14ac:dyDescent="0.25">
      <c r="A149" s="8">
        <v>38986</v>
      </c>
      <c r="B149" s="9">
        <v>2006.7349999999999</v>
      </c>
      <c r="C149">
        <f t="shared" si="28"/>
        <v>5747</v>
      </c>
      <c r="D149" s="10">
        <v>36.94</v>
      </c>
      <c r="E149" s="20">
        <f t="shared" si="29"/>
        <v>1.5915507752442921E-3</v>
      </c>
      <c r="F149" s="18">
        <f t="shared" si="30"/>
        <v>10.687918856375253</v>
      </c>
      <c r="G149" s="14">
        <f t="shared" si="31"/>
        <v>358.68725376864973</v>
      </c>
      <c r="H149" s="14">
        <f t="shared" si="33"/>
        <v>0.10681714187489888</v>
      </c>
      <c r="I149" s="19">
        <f t="shared" si="32"/>
        <v>2.9780021663048848E-4</v>
      </c>
      <c r="J149" s="14">
        <f t="shared" si="34"/>
        <v>38.375853768649733</v>
      </c>
      <c r="K149" s="14">
        <f t="shared" si="35"/>
        <v>16.992671851034174</v>
      </c>
      <c r="L149" s="14">
        <f t="shared" si="35"/>
        <v>0.11296240594086737</v>
      </c>
      <c r="M149" s="20">
        <f t="shared" si="27"/>
        <v>4.8452820899855885E-2</v>
      </c>
    </row>
    <row r="150" spans="1:13" x14ac:dyDescent="0.25">
      <c r="A150" s="8">
        <v>39002</v>
      </c>
      <c r="B150" s="9">
        <v>2006.779</v>
      </c>
      <c r="C150">
        <f t="shared" si="28"/>
        <v>5763</v>
      </c>
      <c r="D150" s="10">
        <v>37.64</v>
      </c>
      <c r="E150" s="20">
        <f t="shared" si="29"/>
        <v>1.1140855426710724E-2</v>
      </c>
      <c r="F150" s="18">
        <f t="shared" si="30"/>
        <v>10.699059711801963</v>
      </c>
      <c r="G150" s="14">
        <f t="shared" si="31"/>
        <v>359.43541917045025</v>
      </c>
      <c r="H150" s="14">
        <f t="shared" si="33"/>
        <v>0.74816540180052016</v>
      </c>
      <c r="I150" s="19">
        <f t="shared" si="32"/>
        <v>2.08150160473119E-3</v>
      </c>
      <c r="J150" s="14">
        <f t="shared" si="34"/>
        <v>39.124019170450254</v>
      </c>
      <c r="K150" s="14">
        <f t="shared" si="35"/>
        <v>17.740837252834694</v>
      </c>
      <c r="L150" s="14">
        <f t="shared" si="35"/>
        <v>0.11504390754559857</v>
      </c>
      <c r="M150" s="20">
        <f t="shared" si="27"/>
        <v>5.0534322504587073E-2</v>
      </c>
    </row>
    <row r="151" spans="1:13" x14ac:dyDescent="0.25">
      <c r="A151" s="8">
        <v>39009</v>
      </c>
      <c r="B151" s="9">
        <v>2006.798</v>
      </c>
      <c r="C151">
        <f t="shared" si="28"/>
        <v>5770</v>
      </c>
      <c r="D151" s="10">
        <v>37.840000000000003</v>
      </c>
      <c r="E151" s="20">
        <f t="shared" si="29"/>
        <v>3.1831015504888106E-3</v>
      </c>
      <c r="F151" s="18">
        <f t="shared" si="30"/>
        <v>10.702242813352452</v>
      </c>
      <c r="G151" s="14">
        <f t="shared" si="31"/>
        <v>359.64932388089625</v>
      </c>
      <c r="H151" s="14">
        <f t="shared" si="33"/>
        <v>0.2139047104460019</v>
      </c>
      <c r="I151" s="19">
        <f t="shared" si="32"/>
        <v>5.9475910628109497E-4</v>
      </c>
      <c r="J151" s="14">
        <f t="shared" si="34"/>
        <v>39.337923880896255</v>
      </c>
      <c r="K151" s="14">
        <f t="shared" si="35"/>
        <v>17.954741963280696</v>
      </c>
      <c r="L151" s="14">
        <f t="shared" si="35"/>
        <v>0.11563866665187966</v>
      </c>
      <c r="M151" s="20">
        <f t="shared" si="27"/>
        <v>5.1129081610868168E-2</v>
      </c>
    </row>
    <row r="152" spans="1:13" x14ac:dyDescent="0.25">
      <c r="A152" s="8">
        <v>39014</v>
      </c>
      <c r="B152" s="9">
        <v>2006.8109999999999</v>
      </c>
      <c r="C152">
        <f t="shared" si="28"/>
        <v>5775</v>
      </c>
      <c r="D152" s="10">
        <v>37.79</v>
      </c>
      <c r="E152" s="20">
        <f t="shared" si="29"/>
        <v>-7.9577538762225914E-4</v>
      </c>
      <c r="F152" s="18">
        <f t="shared" si="30"/>
        <v>10.701447037964829</v>
      </c>
      <c r="G152" s="14">
        <f t="shared" si="31"/>
        <v>359.59584173798993</v>
      </c>
      <c r="H152" s="14">
        <f t="shared" si="33"/>
        <v>-5.3482142906318586E-2</v>
      </c>
      <c r="I152" s="19">
        <f t="shared" si="32"/>
        <v>-1.4872847986180816E-4</v>
      </c>
      <c r="J152" s="14">
        <f t="shared" si="34"/>
        <v>39.284441737989937</v>
      </c>
      <c r="K152" s="14">
        <f t="shared" ref="K152:L167" si="36">H152+K151</f>
        <v>17.901259820374378</v>
      </c>
      <c r="L152" s="14">
        <f t="shared" si="36"/>
        <v>0.11548993817201786</v>
      </c>
      <c r="M152" s="20">
        <f t="shared" si="27"/>
        <v>5.0980353131006358E-2</v>
      </c>
    </row>
    <row r="153" spans="1:13" x14ac:dyDescent="0.25">
      <c r="A153" s="8">
        <v>39021</v>
      </c>
      <c r="B153" s="9">
        <v>2006.8309999999999</v>
      </c>
      <c r="C153">
        <f t="shared" si="28"/>
        <v>5782</v>
      </c>
      <c r="D153" s="10">
        <v>37.74</v>
      </c>
      <c r="E153" s="20">
        <f t="shared" si="29"/>
        <v>-7.9577538762214605E-4</v>
      </c>
      <c r="F153" s="18">
        <f t="shared" si="30"/>
        <v>10.700651262577207</v>
      </c>
      <c r="G153" s="14">
        <f t="shared" si="31"/>
        <v>359.54236357194685</v>
      </c>
      <c r="H153" s="14">
        <f t="shared" si="33"/>
        <v>-5.347816604307809E-2</v>
      </c>
      <c r="I153" s="19">
        <f t="shared" si="32"/>
        <v>-1.4873954076451062E-4</v>
      </c>
      <c r="J153" s="14">
        <f t="shared" si="34"/>
        <v>39.230963571946859</v>
      </c>
      <c r="K153" s="14">
        <f t="shared" si="36"/>
        <v>17.8477816543313</v>
      </c>
      <c r="L153" s="14">
        <f t="shared" si="36"/>
        <v>0.11534119863125335</v>
      </c>
      <c r="M153" s="20">
        <f t="shared" si="27"/>
        <v>5.0831613590241846E-2</v>
      </c>
    </row>
    <row r="154" spans="1:13" x14ac:dyDescent="0.25">
      <c r="A154" s="8">
        <v>39035</v>
      </c>
      <c r="B154" s="9">
        <v>2006.8689999999999</v>
      </c>
      <c r="C154">
        <f t="shared" si="28"/>
        <v>5796</v>
      </c>
      <c r="D154" s="10">
        <v>37.54</v>
      </c>
      <c r="E154" s="20">
        <f t="shared" si="29"/>
        <v>-3.1831015504888106E-3</v>
      </c>
      <c r="F154" s="18">
        <f t="shared" si="30"/>
        <v>10.697468161026718</v>
      </c>
      <c r="G154" s="14">
        <f t="shared" si="31"/>
        <v>359.32849067640632</v>
      </c>
      <c r="H154" s="14">
        <f t="shared" si="33"/>
        <v>-0.21387289554053268</v>
      </c>
      <c r="I154" s="19">
        <f t="shared" si="32"/>
        <v>-5.9520160824969525E-4</v>
      </c>
      <c r="J154" s="14">
        <f t="shared" si="34"/>
        <v>39.017090676406326</v>
      </c>
      <c r="K154" s="14">
        <f t="shared" si="36"/>
        <v>17.633908758790767</v>
      </c>
      <c r="L154" s="14">
        <f t="shared" si="36"/>
        <v>0.11474599702300366</v>
      </c>
      <c r="M154" s="20">
        <f t="shared" si="27"/>
        <v>5.0236411981992149E-2</v>
      </c>
    </row>
    <row r="155" spans="1:13" x14ac:dyDescent="0.25">
      <c r="A155" s="8">
        <v>39057</v>
      </c>
      <c r="B155" s="9">
        <v>2006.9290000000001</v>
      </c>
      <c r="C155">
        <f t="shared" si="28"/>
        <v>5818</v>
      </c>
      <c r="D155" s="10">
        <v>37.24</v>
      </c>
      <c r="E155" s="20">
        <f t="shared" si="29"/>
        <v>-4.7746523257331027E-3</v>
      </c>
      <c r="F155" s="18">
        <f t="shared" si="30"/>
        <v>10.692693508700986</v>
      </c>
      <c r="G155" s="14">
        <f t="shared" si="31"/>
        <v>359.00780063899083</v>
      </c>
      <c r="H155" s="14">
        <f t="shared" si="33"/>
        <v>-0.3206900374154884</v>
      </c>
      <c r="I155" s="19">
        <f t="shared" si="32"/>
        <v>-8.9326760266684622E-4</v>
      </c>
      <c r="J155" s="14">
        <f t="shared" si="34"/>
        <v>38.696400638990838</v>
      </c>
      <c r="K155" s="14">
        <f t="shared" si="36"/>
        <v>17.313218721375279</v>
      </c>
      <c r="L155" s="14">
        <f t="shared" si="36"/>
        <v>0.11385272942033681</v>
      </c>
      <c r="M155" s="20">
        <f t="shared" si="27"/>
        <v>4.9343144379325306E-2</v>
      </c>
    </row>
    <row r="156" spans="1:13" x14ac:dyDescent="0.25">
      <c r="A156" s="8">
        <v>39086</v>
      </c>
      <c r="B156" s="9">
        <v>2007.011</v>
      </c>
      <c r="C156">
        <f t="shared" si="28"/>
        <v>5847</v>
      </c>
      <c r="D156" s="10">
        <v>37.44</v>
      </c>
      <c r="E156" s="20">
        <f t="shared" si="29"/>
        <v>3.1831015504886974E-3</v>
      </c>
      <c r="F156" s="18">
        <f t="shared" si="30"/>
        <v>10.695876610251474</v>
      </c>
      <c r="G156" s="14">
        <f t="shared" si="31"/>
        <v>359.22157808981513</v>
      </c>
      <c r="H156" s="14">
        <f t="shared" si="33"/>
        <v>0.21377745082429556</v>
      </c>
      <c r="I156" s="19">
        <f t="shared" si="32"/>
        <v>5.9511305518190612E-4</v>
      </c>
      <c r="J156" s="14">
        <f t="shared" si="34"/>
        <v>38.910178089815133</v>
      </c>
      <c r="K156" s="14">
        <f>H156</f>
        <v>0.21377745082429556</v>
      </c>
      <c r="L156" s="14">
        <f t="shared" si="36"/>
        <v>0.11444784247551872</v>
      </c>
      <c r="M156" s="20">
        <f>I156</f>
        <v>5.9511305518190612E-4</v>
      </c>
    </row>
    <row r="157" spans="1:13" x14ac:dyDescent="0.25">
      <c r="A157" s="8">
        <v>39119</v>
      </c>
      <c r="B157" s="9">
        <v>2007.1010000000001</v>
      </c>
      <c r="C157">
        <f t="shared" si="28"/>
        <v>5880</v>
      </c>
      <c r="D157" s="10">
        <v>37.04</v>
      </c>
      <c r="E157" s="20">
        <f t="shared" si="29"/>
        <v>-6.3662031009775076E-3</v>
      </c>
      <c r="F157" s="18">
        <f t="shared" si="30"/>
        <v>10.689510407150497</v>
      </c>
      <c r="G157" s="14">
        <f t="shared" si="31"/>
        <v>358.79408681797736</v>
      </c>
      <c r="H157" s="14">
        <f t="shared" si="33"/>
        <v>-0.42749127183776636</v>
      </c>
      <c r="I157" s="19">
        <f t="shared" si="32"/>
        <v>-1.1914668818236134E-3</v>
      </c>
      <c r="J157" s="14">
        <f t="shared" si="34"/>
        <v>38.482686817977367</v>
      </c>
      <c r="K157" s="14">
        <f t="shared" ref="K157:L172" si="37">H157+K156</f>
        <v>-0.21371382101347081</v>
      </c>
      <c r="L157" s="14">
        <f t="shared" si="36"/>
        <v>0.1132563755936951</v>
      </c>
      <c r="M157" s="20">
        <f t="shared" ref="M157:M193" si="38">I157+M156</f>
        <v>-5.9635382664170733E-4</v>
      </c>
    </row>
    <row r="158" spans="1:13" x14ac:dyDescent="0.25">
      <c r="A158" s="8">
        <v>39141</v>
      </c>
      <c r="B158" s="9">
        <v>2007.1610000000001</v>
      </c>
      <c r="C158">
        <f t="shared" si="28"/>
        <v>5902</v>
      </c>
      <c r="D158" s="10">
        <v>37.340000000000003</v>
      </c>
      <c r="E158" s="20">
        <f t="shared" si="29"/>
        <v>4.7746523257332155E-3</v>
      </c>
      <c r="F158" s="18">
        <f t="shared" si="30"/>
        <v>10.694285059476229</v>
      </c>
      <c r="G158" s="14">
        <f t="shared" si="31"/>
        <v>359.11468141067661</v>
      </c>
      <c r="H158" s="14">
        <f t="shared" si="33"/>
        <v>0.32059459269925128</v>
      </c>
      <c r="I158" s="19">
        <f t="shared" si="32"/>
        <v>8.9273596790832811E-4</v>
      </c>
      <c r="J158" s="14">
        <f t="shared" si="34"/>
        <v>38.803281410676618</v>
      </c>
      <c r="K158" s="14">
        <f t="shared" si="37"/>
        <v>0.10688077168578047</v>
      </c>
      <c r="L158" s="14">
        <f t="shared" si="36"/>
        <v>0.11414911156160343</v>
      </c>
      <c r="M158" s="20">
        <f t="shared" si="38"/>
        <v>2.9638214126662078E-4</v>
      </c>
    </row>
    <row r="159" spans="1:13" x14ac:dyDescent="0.25">
      <c r="A159" s="8">
        <v>39155</v>
      </c>
      <c r="B159" s="9">
        <v>2007.1990000000001</v>
      </c>
      <c r="C159">
        <f t="shared" si="28"/>
        <v>5916</v>
      </c>
      <c r="D159" s="10">
        <v>37.24</v>
      </c>
      <c r="E159" s="20">
        <f t="shared" si="29"/>
        <v>-1.5915507752444053E-3</v>
      </c>
      <c r="F159" s="18">
        <f t="shared" si="30"/>
        <v>10.692693508700986</v>
      </c>
      <c r="G159" s="14">
        <f t="shared" si="31"/>
        <v>359.00780063899083</v>
      </c>
      <c r="H159" s="14">
        <f t="shared" si="33"/>
        <v>-0.10688077168578047</v>
      </c>
      <c r="I159" s="19">
        <f t="shared" si="32"/>
        <v>-2.9771155806516047E-4</v>
      </c>
      <c r="J159" s="14">
        <f t="shared" si="34"/>
        <v>38.696400638990838</v>
      </c>
      <c r="K159" s="14">
        <f t="shared" si="37"/>
        <v>0</v>
      </c>
      <c r="L159" s="14">
        <f t="shared" si="36"/>
        <v>0.11385140000353827</v>
      </c>
      <c r="M159" s="20">
        <f t="shared" si="38"/>
        <v>-1.3294167985396926E-6</v>
      </c>
    </row>
    <row r="160" spans="1:13" x14ac:dyDescent="0.25">
      <c r="A160" s="8">
        <v>39168</v>
      </c>
      <c r="B160" s="9">
        <v>2007.2349999999999</v>
      </c>
      <c r="C160">
        <f t="shared" si="28"/>
        <v>5929</v>
      </c>
      <c r="D160" s="10">
        <v>38.340000000000003</v>
      </c>
      <c r="E160" s="20">
        <f t="shared" si="29"/>
        <v>1.7507058527688232E-2</v>
      </c>
      <c r="F160" s="18">
        <f t="shared" si="30"/>
        <v>10.710200567228673</v>
      </c>
      <c r="G160" s="14">
        <f t="shared" si="31"/>
        <v>360.18436403743334</v>
      </c>
      <c r="H160" s="14">
        <f t="shared" si="33"/>
        <v>1.1765633984425108</v>
      </c>
      <c r="I160" s="19">
        <f t="shared" si="32"/>
        <v>3.2665587846568279E-3</v>
      </c>
      <c r="J160" s="14">
        <f t="shared" si="34"/>
        <v>39.872964037433348</v>
      </c>
      <c r="K160" s="14">
        <f t="shared" si="37"/>
        <v>1.1765633984425108</v>
      </c>
      <c r="L160" s="14">
        <f t="shared" si="36"/>
        <v>0.1171179587881951</v>
      </c>
      <c r="M160" s="20">
        <f t="shared" si="38"/>
        <v>3.2652293678582882E-3</v>
      </c>
    </row>
    <row r="161" spans="1:13" x14ac:dyDescent="0.25">
      <c r="A161" s="8">
        <v>39175</v>
      </c>
      <c r="B161" s="9">
        <v>2007.2539999999999</v>
      </c>
      <c r="C161">
        <f t="shared" si="28"/>
        <v>5936</v>
      </c>
      <c r="D161" s="10">
        <v>38.44</v>
      </c>
      <c r="E161" s="20">
        <f t="shared" si="29"/>
        <v>1.5915507752442921E-3</v>
      </c>
      <c r="F161" s="18">
        <f t="shared" si="30"/>
        <v>10.711792118003917</v>
      </c>
      <c r="G161" s="14">
        <f t="shared" si="31"/>
        <v>360.2914197910988</v>
      </c>
      <c r="H161" s="14">
        <f t="shared" si="33"/>
        <v>0.10705575366546327</v>
      </c>
      <c r="I161" s="19">
        <f t="shared" si="32"/>
        <v>2.9713656164095015E-4</v>
      </c>
      <c r="J161" s="14">
        <f t="shared" si="34"/>
        <v>39.980019791098812</v>
      </c>
      <c r="K161" s="14">
        <f t="shared" si="37"/>
        <v>1.2836191521079741</v>
      </c>
      <c r="L161" s="14">
        <f t="shared" si="36"/>
        <v>0.11741509534983605</v>
      </c>
      <c r="M161" s="20">
        <f t="shared" si="38"/>
        <v>3.5623659294992385E-3</v>
      </c>
    </row>
    <row r="162" spans="1:13" x14ac:dyDescent="0.25">
      <c r="A162" s="8">
        <v>39182</v>
      </c>
      <c r="B162" s="9">
        <v>2007.2729999999999</v>
      </c>
      <c r="C162">
        <f t="shared" si="28"/>
        <v>5943</v>
      </c>
      <c r="D162" s="10">
        <v>39.24</v>
      </c>
      <c r="E162" s="20">
        <f t="shared" si="29"/>
        <v>1.273240620195513E-2</v>
      </c>
      <c r="F162" s="18">
        <f t="shared" si="30"/>
        <v>10.724524524205872</v>
      </c>
      <c r="G162" s="14">
        <f t="shared" si="31"/>
        <v>361.14843848872061</v>
      </c>
      <c r="H162" s="14">
        <f t="shared" si="33"/>
        <v>0.85701869762181104</v>
      </c>
      <c r="I162" s="19">
        <f t="shared" si="32"/>
        <v>2.373037250854893E-3</v>
      </c>
      <c r="J162" s="14">
        <f t="shared" si="34"/>
        <v>40.837038488720623</v>
      </c>
      <c r="K162" s="14">
        <f t="shared" si="37"/>
        <v>2.1406378497297851</v>
      </c>
      <c r="L162" s="14">
        <f t="shared" si="36"/>
        <v>0.11978813260069093</v>
      </c>
      <c r="M162" s="20">
        <f t="shared" si="38"/>
        <v>5.9354031803541315E-3</v>
      </c>
    </row>
    <row r="163" spans="1:13" x14ac:dyDescent="0.25">
      <c r="A163" s="8">
        <v>39189</v>
      </c>
      <c r="B163" s="9">
        <v>2007.2919999999999</v>
      </c>
      <c r="C163">
        <f t="shared" si="28"/>
        <v>5950</v>
      </c>
      <c r="D163" s="10">
        <v>40.64</v>
      </c>
      <c r="E163" s="20">
        <f t="shared" si="29"/>
        <v>2.2281710853421333E-2</v>
      </c>
      <c r="F163" s="18">
        <f t="shared" si="30"/>
        <v>10.746806235059294</v>
      </c>
      <c r="G163" s="14">
        <f t="shared" si="31"/>
        <v>362.65067095727528</v>
      </c>
      <c r="H163" s="14">
        <f t="shared" si="33"/>
        <v>1.5022324685546664</v>
      </c>
      <c r="I163" s="19">
        <f t="shared" si="32"/>
        <v>4.1423678180141791E-3</v>
      </c>
      <c r="J163" s="14">
        <f t="shared" si="34"/>
        <v>42.339270957275289</v>
      </c>
      <c r="K163" s="14">
        <f t="shared" si="37"/>
        <v>3.6428703182844515</v>
      </c>
      <c r="L163" s="14">
        <f t="shared" si="36"/>
        <v>0.12393050041870511</v>
      </c>
      <c r="M163" s="20">
        <f t="shared" si="38"/>
        <v>1.0077770998368311E-2</v>
      </c>
    </row>
    <row r="164" spans="1:13" x14ac:dyDescent="0.25">
      <c r="A164" s="8">
        <v>39196</v>
      </c>
      <c r="B164" s="9">
        <v>2007.3109999999999</v>
      </c>
      <c r="C164">
        <f t="shared" si="28"/>
        <v>5957</v>
      </c>
      <c r="D164" s="10">
        <v>41.54</v>
      </c>
      <c r="E164" s="20">
        <f t="shared" si="29"/>
        <v>1.4323956977199421E-2</v>
      </c>
      <c r="F164" s="18">
        <f t="shared" si="30"/>
        <v>10.761130192036493</v>
      </c>
      <c r="G164" s="14">
        <f t="shared" si="31"/>
        <v>363.61803825127242</v>
      </c>
      <c r="H164" s="14">
        <f t="shared" si="33"/>
        <v>0.9673672939971425</v>
      </c>
      <c r="I164" s="19">
        <f t="shared" si="32"/>
        <v>2.6603941285461168E-3</v>
      </c>
      <c r="J164" s="14">
        <f t="shared" si="34"/>
        <v>43.306638251272432</v>
      </c>
      <c r="K164" s="14">
        <f t="shared" si="37"/>
        <v>4.610237612281594</v>
      </c>
      <c r="L164" s="14">
        <f t="shared" si="36"/>
        <v>0.12659089454725123</v>
      </c>
      <c r="M164" s="20">
        <f t="shared" si="38"/>
        <v>1.2738165126914428E-2</v>
      </c>
    </row>
    <row r="165" spans="1:13" x14ac:dyDescent="0.25">
      <c r="A165" s="8">
        <v>39203</v>
      </c>
      <c r="B165" s="9">
        <v>2007.3309999999999</v>
      </c>
      <c r="C165">
        <f t="shared" si="28"/>
        <v>5964</v>
      </c>
      <c r="D165" s="10">
        <v>43.14</v>
      </c>
      <c r="E165" s="20">
        <f t="shared" si="29"/>
        <v>2.5464812403910145E-2</v>
      </c>
      <c r="F165" s="18">
        <f t="shared" si="30"/>
        <v>10.786595004440404</v>
      </c>
      <c r="G165" s="14">
        <f t="shared" si="31"/>
        <v>365.34098382003066</v>
      </c>
      <c r="H165" s="14">
        <f t="shared" si="33"/>
        <v>1.7229455687582345</v>
      </c>
      <c r="I165" s="19">
        <f t="shared" si="32"/>
        <v>4.7159931271411057E-3</v>
      </c>
      <c r="J165" s="14">
        <f t="shared" si="34"/>
        <v>45.029583820030666</v>
      </c>
      <c r="K165" s="14">
        <f t="shared" si="37"/>
        <v>6.3331831810398285</v>
      </c>
      <c r="L165" s="14">
        <f t="shared" si="36"/>
        <v>0.13130688767439233</v>
      </c>
      <c r="M165" s="20">
        <f t="shared" si="38"/>
        <v>1.7454158254055534E-2</v>
      </c>
    </row>
    <row r="166" spans="1:13" x14ac:dyDescent="0.25">
      <c r="A166" s="8">
        <v>39210</v>
      </c>
      <c r="B166" s="9">
        <v>2007.35</v>
      </c>
      <c r="C166">
        <f t="shared" si="28"/>
        <v>5971</v>
      </c>
      <c r="D166" s="10">
        <v>44.99</v>
      </c>
      <c r="E166" s="20">
        <f t="shared" si="29"/>
        <v>2.9443689342021101E-2</v>
      </c>
      <c r="F166" s="18">
        <f t="shared" si="30"/>
        <v>10.816038693782424</v>
      </c>
      <c r="G166" s="14">
        <f t="shared" si="31"/>
        <v>367.33821609975166</v>
      </c>
      <c r="H166" s="14">
        <f t="shared" si="33"/>
        <v>1.997232279721004</v>
      </c>
      <c r="I166" s="19">
        <f t="shared" si="32"/>
        <v>5.437039197627753E-3</v>
      </c>
      <c r="J166" s="14">
        <f t="shared" si="34"/>
        <v>47.02681609975167</v>
      </c>
      <c r="K166" s="14">
        <f t="shared" si="37"/>
        <v>8.3304154607608325</v>
      </c>
      <c r="L166" s="14">
        <f t="shared" si="36"/>
        <v>0.13674392687202008</v>
      </c>
      <c r="M166" s="20">
        <f t="shared" si="38"/>
        <v>2.2891197451683287E-2</v>
      </c>
    </row>
    <row r="167" spans="1:13" x14ac:dyDescent="0.25">
      <c r="A167" s="8">
        <v>39217</v>
      </c>
      <c r="B167" s="9">
        <v>2007.3689999999999</v>
      </c>
      <c r="C167">
        <f t="shared" si="28"/>
        <v>5978</v>
      </c>
      <c r="D167" s="10">
        <v>46.14</v>
      </c>
      <c r="E167" s="20">
        <f t="shared" si="29"/>
        <v>1.8302833915310377E-2</v>
      </c>
      <c r="F167" s="18">
        <f t="shared" si="30"/>
        <v>10.834341527697735</v>
      </c>
      <c r="G167" s="14">
        <f t="shared" si="31"/>
        <v>368.58248290381846</v>
      </c>
      <c r="H167" s="14">
        <f t="shared" si="33"/>
        <v>1.2442668040667968</v>
      </c>
      <c r="I167" s="19">
        <f t="shared" si="32"/>
        <v>3.3758164367010575E-3</v>
      </c>
      <c r="J167" s="14">
        <f t="shared" si="34"/>
        <v>48.271082903818467</v>
      </c>
      <c r="K167" s="14">
        <f t="shared" si="37"/>
        <v>9.5746822648276293</v>
      </c>
      <c r="L167" s="14">
        <f t="shared" si="36"/>
        <v>0.14011974330872115</v>
      </c>
      <c r="M167" s="20">
        <f t="shared" si="38"/>
        <v>2.6267013888384344E-2</v>
      </c>
    </row>
    <row r="168" spans="1:13" x14ac:dyDescent="0.25">
      <c r="A168" s="8">
        <v>39224</v>
      </c>
      <c r="B168" s="9">
        <v>2007.3879999999999</v>
      </c>
      <c r="C168">
        <f t="shared" si="28"/>
        <v>5985</v>
      </c>
      <c r="D168" s="10">
        <v>47.24</v>
      </c>
      <c r="E168" s="20">
        <f t="shared" si="29"/>
        <v>1.7507058527688232E-2</v>
      </c>
      <c r="F168" s="18">
        <f t="shared" si="30"/>
        <v>10.851848586225422</v>
      </c>
      <c r="G168" s="14">
        <f t="shared" si="31"/>
        <v>369.77461969845888</v>
      </c>
      <c r="H168" s="14">
        <f t="shared" si="33"/>
        <v>1.1921367946404189</v>
      </c>
      <c r="I168" s="19">
        <f t="shared" si="32"/>
        <v>3.2239551638578493E-3</v>
      </c>
      <c r="J168" s="14">
        <f t="shared" si="34"/>
        <v>49.463219698458886</v>
      </c>
      <c r="K168" s="14">
        <f t="shared" si="37"/>
        <v>10.766819059468048</v>
      </c>
      <c r="L168" s="14">
        <f t="shared" si="37"/>
        <v>0.143343698472579</v>
      </c>
      <c r="M168" s="20">
        <f t="shared" si="38"/>
        <v>2.9490969052242192E-2</v>
      </c>
    </row>
    <row r="169" spans="1:13" x14ac:dyDescent="0.25">
      <c r="A169" s="8">
        <v>39231</v>
      </c>
      <c r="B169" s="9">
        <v>2007.4069999999999</v>
      </c>
      <c r="C169">
        <f t="shared" si="28"/>
        <v>5992</v>
      </c>
      <c r="D169" s="10">
        <v>47.39</v>
      </c>
      <c r="E169" s="20">
        <f t="shared" si="29"/>
        <v>2.3873261628665514E-3</v>
      </c>
      <c r="F169" s="18">
        <f t="shared" si="30"/>
        <v>10.854235912388289</v>
      </c>
      <c r="G169" s="14">
        <f t="shared" si="31"/>
        <v>369.93733293918802</v>
      </c>
      <c r="H169" s="14">
        <f t="shared" si="33"/>
        <v>0.16271324072914695</v>
      </c>
      <c r="I169" s="19">
        <f t="shared" si="32"/>
        <v>4.3984001137807436E-4</v>
      </c>
      <c r="J169" s="14">
        <f t="shared" si="34"/>
        <v>49.625932939188033</v>
      </c>
      <c r="K169" s="14">
        <f t="shared" si="37"/>
        <v>10.929532300197195</v>
      </c>
      <c r="L169" s="14">
        <f t="shared" si="37"/>
        <v>0.14378353848395706</v>
      </c>
      <c r="M169" s="20">
        <f t="shared" si="38"/>
        <v>2.9930809063620268E-2</v>
      </c>
    </row>
    <row r="170" spans="1:13" x14ac:dyDescent="0.25">
      <c r="A170" s="8">
        <v>39239</v>
      </c>
      <c r="B170" s="9">
        <v>2007.4290000000001</v>
      </c>
      <c r="C170">
        <f t="shared" si="28"/>
        <v>6000</v>
      </c>
      <c r="D170" s="10">
        <v>48.04</v>
      </c>
      <c r="E170" s="20">
        <f t="shared" si="29"/>
        <v>1.0345080039088466E-2</v>
      </c>
      <c r="F170" s="18">
        <f t="shared" si="30"/>
        <v>10.864580992427378</v>
      </c>
      <c r="G170" s="14">
        <f t="shared" si="31"/>
        <v>370.64283724278482</v>
      </c>
      <c r="H170" s="14">
        <f t="shared" si="33"/>
        <v>0.70550430359679694</v>
      </c>
      <c r="I170" s="19">
        <f t="shared" si="32"/>
        <v>1.9034613183005217E-3</v>
      </c>
      <c r="J170" s="14">
        <f t="shared" si="34"/>
        <v>50.33143724278483</v>
      </c>
      <c r="K170" s="14">
        <f t="shared" si="37"/>
        <v>11.635036603793992</v>
      </c>
      <c r="L170" s="14">
        <f t="shared" si="37"/>
        <v>0.14568699980225758</v>
      </c>
      <c r="M170" s="20">
        <f t="shared" si="38"/>
        <v>3.1834270381920791E-2</v>
      </c>
    </row>
    <row r="171" spans="1:13" x14ac:dyDescent="0.25">
      <c r="A171" s="8">
        <v>39245</v>
      </c>
      <c r="B171" s="9">
        <v>2007.4449999999999</v>
      </c>
      <c r="C171">
        <f t="shared" si="28"/>
        <v>6006</v>
      </c>
      <c r="D171" s="10">
        <v>49.54</v>
      </c>
      <c r="E171" s="20">
        <f t="shared" si="29"/>
        <v>2.3873261628665741E-2</v>
      </c>
      <c r="F171" s="18">
        <f t="shared" si="30"/>
        <v>10.888454254056043</v>
      </c>
      <c r="G171" s="14">
        <f t="shared" si="31"/>
        <v>372.2734891739874</v>
      </c>
      <c r="H171" s="14">
        <f t="shared" si="33"/>
        <v>1.6306519312025785</v>
      </c>
      <c r="I171" s="19">
        <f t="shared" si="32"/>
        <v>4.3802526331400129E-3</v>
      </c>
      <c r="J171" s="14">
        <f t="shared" si="34"/>
        <v>51.962089173987408</v>
      </c>
      <c r="K171" s="14">
        <f t="shared" si="37"/>
        <v>13.265688534996571</v>
      </c>
      <c r="L171" s="14">
        <f t="shared" si="37"/>
        <v>0.15006725243539759</v>
      </c>
      <c r="M171" s="20">
        <f t="shared" si="38"/>
        <v>3.6214523015060805E-2</v>
      </c>
    </row>
    <row r="172" spans="1:13" x14ac:dyDescent="0.25">
      <c r="A172" s="8">
        <v>39252</v>
      </c>
      <c r="B172" s="9">
        <v>2007.4639999999999</v>
      </c>
      <c r="C172">
        <f t="shared" si="28"/>
        <v>6013</v>
      </c>
      <c r="D172" s="10">
        <v>50.04</v>
      </c>
      <c r="E172" s="20">
        <f t="shared" si="29"/>
        <v>7.9577538762219142E-3</v>
      </c>
      <c r="F172" s="18">
        <f t="shared" si="30"/>
        <v>10.896412007932264</v>
      </c>
      <c r="G172" s="14">
        <f t="shared" si="31"/>
        <v>372.81783519035679</v>
      </c>
      <c r="H172" s="14">
        <f t="shared" si="33"/>
        <v>0.54434601636938851</v>
      </c>
      <c r="I172" s="19">
        <f t="shared" si="32"/>
        <v>1.4600857710883152E-3</v>
      </c>
      <c r="J172" s="14">
        <f t="shared" si="34"/>
        <v>52.506435190356797</v>
      </c>
      <c r="K172" s="14">
        <f t="shared" si="37"/>
        <v>13.810034551365959</v>
      </c>
      <c r="L172" s="14">
        <f t="shared" si="37"/>
        <v>0.1515273382064859</v>
      </c>
      <c r="M172" s="20">
        <f t="shared" si="38"/>
        <v>3.7674608786149123E-2</v>
      </c>
    </row>
    <row r="173" spans="1:13" x14ac:dyDescent="0.25">
      <c r="A173" s="8">
        <v>39260</v>
      </c>
      <c r="B173" s="9">
        <v>2007.4860000000001</v>
      </c>
      <c r="C173">
        <f t="shared" si="28"/>
        <v>6021</v>
      </c>
      <c r="D173" s="10">
        <v>49.69</v>
      </c>
      <c r="E173" s="20">
        <f t="shared" si="29"/>
        <v>-5.570427713355362E-3</v>
      </c>
      <c r="F173" s="18">
        <f t="shared" si="30"/>
        <v>10.890841580218909</v>
      </c>
      <c r="G173" s="14">
        <f t="shared" si="31"/>
        <v>372.43675122183487</v>
      </c>
      <c r="H173" s="14">
        <f t="shared" si="33"/>
        <v>-0.38108396852192072</v>
      </c>
      <c r="I173" s="19">
        <f t="shared" si="32"/>
        <v>-1.0232179484750562E-3</v>
      </c>
      <c r="J173" s="14">
        <f t="shared" si="34"/>
        <v>52.125351221834876</v>
      </c>
      <c r="K173" s="14">
        <f t="shared" ref="K173:L188" si="39">H173+K172</f>
        <v>13.428950582844038</v>
      </c>
      <c r="L173" s="14">
        <f t="shared" si="39"/>
        <v>0.15050412025801083</v>
      </c>
      <c r="M173" s="20">
        <f t="shared" si="38"/>
        <v>3.6651390837674068E-2</v>
      </c>
    </row>
    <row r="174" spans="1:13" x14ac:dyDescent="0.25">
      <c r="A174" s="8">
        <v>39266</v>
      </c>
      <c r="B174" s="9">
        <v>2007.5029999999999</v>
      </c>
      <c r="C174">
        <f t="shared" si="28"/>
        <v>6027</v>
      </c>
      <c r="D174" s="10">
        <v>49.74</v>
      </c>
      <c r="E174" s="20">
        <f t="shared" si="29"/>
        <v>7.9577538762225914E-4</v>
      </c>
      <c r="F174" s="18">
        <f t="shared" si="30"/>
        <v>10.891637355606532</v>
      </c>
      <c r="G174" s="14">
        <f t="shared" si="31"/>
        <v>372.49117985817708</v>
      </c>
      <c r="H174" s="14">
        <f t="shared" si="33"/>
        <v>5.4428636342208847E-2</v>
      </c>
      <c r="I174" s="19">
        <f t="shared" si="32"/>
        <v>1.4612060442057204E-4</v>
      </c>
      <c r="J174" s="14">
        <f t="shared" si="34"/>
        <v>52.179779858177085</v>
      </c>
      <c r="K174" s="14">
        <f t="shared" si="39"/>
        <v>13.483379219186247</v>
      </c>
      <c r="L174" s="14">
        <f t="shared" si="39"/>
        <v>0.15065024086243139</v>
      </c>
      <c r="M174" s="20">
        <f t="shared" si="38"/>
        <v>3.6797511442094637E-2</v>
      </c>
    </row>
    <row r="175" spans="1:13" x14ac:dyDescent="0.25">
      <c r="A175" s="8">
        <v>39273</v>
      </c>
      <c r="B175" s="9">
        <v>2007.5219999999999</v>
      </c>
      <c r="C175">
        <f t="shared" si="28"/>
        <v>6034</v>
      </c>
      <c r="D175" s="10">
        <v>49.44</v>
      </c>
      <c r="E175" s="20">
        <f t="shared" si="29"/>
        <v>-4.7746523257332155E-3</v>
      </c>
      <c r="F175" s="18">
        <f t="shared" si="30"/>
        <v>10.8868627032808</v>
      </c>
      <c r="G175" s="14">
        <f t="shared" si="31"/>
        <v>372.16466769307169</v>
      </c>
      <c r="H175" s="14">
        <f t="shared" si="33"/>
        <v>-0.32651216510538461</v>
      </c>
      <c r="I175" s="19">
        <f t="shared" si="32"/>
        <v>-8.7733251823534947E-4</v>
      </c>
      <c r="J175" s="14">
        <f t="shared" si="34"/>
        <v>51.8532676930717</v>
      </c>
      <c r="K175" s="14">
        <f t="shared" si="39"/>
        <v>13.156867054080863</v>
      </c>
      <c r="L175" s="14">
        <f t="shared" si="39"/>
        <v>0.14977290834419604</v>
      </c>
      <c r="M175" s="20">
        <f t="shared" si="38"/>
        <v>3.5920178923859285E-2</v>
      </c>
    </row>
    <row r="176" spans="1:13" x14ac:dyDescent="0.25">
      <c r="A176" s="8">
        <v>39280</v>
      </c>
      <c r="B176" s="9">
        <v>2007.5409999999999</v>
      </c>
      <c r="C176">
        <f t="shared" si="28"/>
        <v>6041</v>
      </c>
      <c r="D176" s="10">
        <v>49.54</v>
      </c>
      <c r="E176" s="20">
        <f t="shared" si="29"/>
        <v>1.5915507752444053E-3</v>
      </c>
      <c r="F176" s="18">
        <f t="shared" si="30"/>
        <v>10.888454254056043</v>
      </c>
      <c r="G176" s="14">
        <f t="shared" si="31"/>
        <v>372.2734891739874</v>
      </c>
      <c r="H176" s="14">
        <f t="shared" si="33"/>
        <v>0.10882148091570798</v>
      </c>
      <c r="I176" s="19">
        <f t="shared" si="32"/>
        <v>2.9231595609229292E-4</v>
      </c>
      <c r="J176" s="14">
        <f t="shared" si="34"/>
        <v>51.962089173987408</v>
      </c>
      <c r="K176" s="14">
        <f t="shared" si="39"/>
        <v>13.265688534996571</v>
      </c>
      <c r="L176" s="14">
        <f t="shared" si="39"/>
        <v>0.15006522430028835</v>
      </c>
      <c r="M176" s="20">
        <f t="shared" si="38"/>
        <v>3.6212494879951575E-2</v>
      </c>
    </row>
    <row r="177" spans="1:13" x14ac:dyDescent="0.25">
      <c r="A177" s="8">
        <v>39287</v>
      </c>
      <c r="B177" s="9">
        <v>2007.56</v>
      </c>
      <c r="C177">
        <f t="shared" si="28"/>
        <v>6048</v>
      </c>
      <c r="D177" s="10">
        <v>49.64</v>
      </c>
      <c r="E177" s="20">
        <f t="shared" si="29"/>
        <v>1.5915507752444053E-3</v>
      </c>
      <c r="F177" s="18">
        <f t="shared" si="30"/>
        <v>10.890045804831287</v>
      </c>
      <c r="G177" s="14">
        <f t="shared" si="31"/>
        <v>372.38232656235579</v>
      </c>
      <c r="H177" s="14">
        <f t="shared" si="33"/>
        <v>0.10883738836838575</v>
      </c>
      <c r="I177" s="19">
        <f t="shared" si="32"/>
        <v>2.922732380269417E-4</v>
      </c>
      <c r="J177" s="14">
        <f t="shared" si="34"/>
        <v>52.070926562355794</v>
      </c>
      <c r="K177" s="14">
        <f t="shared" si="39"/>
        <v>13.374525923364956</v>
      </c>
      <c r="L177" s="14">
        <f t="shared" si="39"/>
        <v>0.15035749753831529</v>
      </c>
      <c r="M177" s="20">
        <f t="shared" si="38"/>
        <v>3.6504768117978516E-2</v>
      </c>
    </row>
    <row r="178" spans="1:13" x14ac:dyDescent="0.25">
      <c r="A178" s="8">
        <v>39294</v>
      </c>
      <c r="B178" s="9">
        <v>2007.579</v>
      </c>
      <c r="C178">
        <f t="shared" si="28"/>
        <v>6055</v>
      </c>
      <c r="D178" s="10">
        <v>49.64</v>
      </c>
      <c r="E178" s="20">
        <f t="shared" si="29"/>
        <v>0</v>
      </c>
      <c r="F178" s="18">
        <f t="shared" si="30"/>
        <v>10.890045804831287</v>
      </c>
      <c r="G178" s="14">
        <f t="shared" si="31"/>
        <v>372.38232656235579</v>
      </c>
      <c r="H178" s="14">
        <f t="shared" si="33"/>
        <v>0</v>
      </c>
      <c r="I178" s="19">
        <f t="shared" si="32"/>
        <v>0</v>
      </c>
      <c r="J178" s="14">
        <f t="shared" si="34"/>
        <v>52.070926562355794</v>
      </c>
      <c r="K178" s="14">
        <f t="shared" si="39"/>
        <v>13.374525923364956</v>
      </c>
      <c r="L178" s="14">
        <f t="shared" si="39"/>
        <v>0.15035749753831529</v>
      </c>
      <c r="M178" s="20">
        <f t="shared" si="38"/>
        <v>3.6504768117978516E-2</v>
      </c>
    </row>
    <row r="179" spans="1:13" x14ac:dyDescent="0.25">
      <c r="A179" s="8">
        <v>39301</v>
      </c>
      <c r="B179" s="9">
        <v>2007.598</v>
      </c>
      <c r="C179">
        <f t="shared" si="28"/>
        <v>6062</v>
      </c>
      <c r="D179" s="10">
        <v>49.74</v>
      </c>
      <c r="E179" s="20">
        <f t="shared" si="29"/>
        <v>1.5915507752444053E-3</v>
      </c>
      <c r="F179" s="18">
        <f t="shared" si="30"/>
        <v>10.89163735560653</v>
      </c>
      <c r="G179" s="14">
        <f t="shared" si="31"/>
        <v>372.49117985817696</v>
      </c>
      <c r="H179" s="14">
        <f t="shared" si="33"/>
        <v>0.1088532958211772</v>
      </c>
      <c r="I179" s="19">
        <f t="shared" si="32"/>
        <v>2.9223053244541847E-4</v>
      </c>
      <c r="J179" s="14">
        <f t="shared" si="34"/>
        <v>52.179779858176971</v>
      </c>
      <c r="K179" s="14">
        <f t="shared" si="39"/>
        <v>13.483379219186133</v>
      </c>
      <c r="L179" s="14">
        <f t="shared" si="39"/>
        <v>0.15064972807076071</v>
      </c>
      <c r="M179" s="20">
        <f t="shared" si="38"/>
        <v>3.6796998650423934E-2</v>
      </c>
    </row>
    <row r="180" spans="1:13" x14ac:dyDescent="0.25">
      <c r="A180" s="8">
        <v>39308</v>
      </c>
      <c r="B180" s="9">
        <v>2007.617</v>
      </c>
      <c r="C180">
        <f t="shared" si="28"/>
        <v>6069</v>
      </c>
      <c r="D180" s="10">
        <v>49.44</v>
      </c>
      <c r="E180" s="20">
        <f t="shared" si="29"/>
        <v>-4.7746523257332155E-3</v>
      </c>
      <c r="F180" s="18">
        <f t="shared" si="30"/>
        <v>10.886862703280798</v>
      </c>
      <c r="G180" s="14">
        <f t="shared" si="31"/>
        <v>372.16466769307158</v>
      </c>
      <c r="H180" s="14">
        <f t="shared" si="33"/>
        <v>-0.32651216510538461</v>
      </c>
      <c r="I180" s="19">
        <f t="shared" si="32"/>
        <v>-8.773325182353498E-4</v>
      </c>
      <c r="J180" s="14">
        <f t="shared" si="34"/>
        <v>51.853267693071587</v>
      </c>
      <c r="K180" s="14">
        <f t="shared" si="39"/>
        <v>13.156867054080749</v>
      </c>
      <c r="L180" s="14">
        <f t="shared" si="39"/>
        <v>0.14977239555252536</v>
      </c>
      <c r="M180" s="20">
        <f t="shared" si="38"/>
        <v>3.5919666132188582E-2</v>
      </c>
    </row>
    <row r="181" spans="1:13" x14ac:dyDescent="0.25">
      <c r="A181" s="8">
        <v>39315</v>
      </c>
      <c r="B181" s="9">
        <v>2007.6369999999999</v>
      </c>
      <c r="C181">
        <f t="shared" si="28"/>
        <v>6076</v>
      </c>
      <c r="D181" s="10">
        <v>49.74</v>
      </c>
      <c r="E181" s="20">
        <f t="shared" si="29"/>
        <v>4.7746523257332155E-3</v>
      </c>
      <c r="F181" s="18">
        <f t="shared" si="30"/>
        <v>10.89163735560653</v>
      </c>
      <c r="G181" s="14">
        <f t="shared" si="31"/>
        <v>372.49117985817696</v>
      </c>
      <c r="H181" s="14">
        <f t="shared" si="33"/>
        <v>0.32651216510538461</v>
      </c>
      <c r="I181" s="19">
        <f t="shared" si="32"/>
        <v>8.7656348058953097E-4</v>
      </c>
      <c r="J181" s="14">
        <f t="shared" si="34"/>
        <v>52.179779858176971</v>
      </c>
      <c r="K181" s="14">
        <f t="shared" si="39"/>
        <v>13.483379219186133</v>
      </c>
      <c r="L181" s="14">
        <f t="shared" si="39"/>
        <v>0.1506489590331149</v>
      </c>
      <c r="M181" s="20">
        <f t="shared" si="38"/>
        <v>3.6796229612778113E-2</v>
      </c>
    </row>
    <row r="182" spans="1:13" x14ac:dyDescent="0.25">
      <c r="A182" s="8">
        <v>39322</v>
      </c>
      <c r="B182" s="9">
        <v>2007.6559999999999</v>
      </c>
      <c r="C182">
        <f t="shared" si="28"/>
        <v>6083</v>
      </c>
      <c r="D182" s="10">
        <v>49.64</v>
      </c>
      <c r="E182" s="20">
        <f t="shared" si="29"/>
        <v>-1.5915507752444053E-3</v>
      </c>
      <c r="F182" s="18">
        <f t="shared" si="30"/>
        <v>10.890045804831287</v>
      </c>
      <c r="G182" s="14">
        <f t="shared" si="31"/>
        <v>372.38232656235579</v>
      </c>
      <c r="H182" s="14">
        <f t="shared" si="33"/>
        <v>-0.1088532958211772</v>
      </c>
      <c r="I182" s="19">
        <f t="shared" si="32"/>
        <v>-2.9231595609290984E-4</v>
      </c>
      <c r="J182" s="14">
        <f t="shared" si="34"/>
        <v>52.070926562355794</v>
      </c>
      <c r="K182" s="14">
        <f t="shared" si="39"/>
        <v>13.374525923364956</v>
      </c>
      <c r="L182" s="14">
        <f t="shared" si="39"/>
        <v>0.15035664307702198</v>
      </c>
      <c r="M182" s="20">
        <f t="shared" si="38"/>
        <v>3.6503913656685205E-2</v>
      </c>
    </row>
    <row r="183" spans="1:13" x14ac:dyDescent="0.25">
      <c r="A183" s="8">
        <v>39329</v>
      </c>
      <c r="B183" s="9">
        <v>2007.675</v>
      </c>
      <c r="C183">
        <f t="shared" si="28"/>
        <v>6090</v>
      </c>
      <c r="D183" s="10">
        <v>49.84</v>
      </c>
      <c r="E183" s="20">
        <f t="shared" si="29"/>
        <v>3.1831015504888106E-3</v>
      </c>
      <c r="F183" s="18">
        <f t="shared" si="30"/>
        <v>10.893228906381776</v>
      </c>
      <c r="G183" s="14">
        <f t="shared" si="31"/>
        <v>372.60004906145093</v>
      </c>
      <c r="H183" s="14">
        <f t="shared" si="33"/>
        <v>0.21772249909514585</v>
      </c>
      <c r="I183" s="19">
        <f t="shared" si="32"/>
        <v>5.8433298557950008E-4</v>
      </c>
      <c r="J183" s="14">
        <f t="shared" si="34"/>
        <v>52.28864906145094</v>
      </c>
      <c r="K183" s="14">
        <f t="shared" si="39"/>
        <v>13.592248422460102</v>
      </c>
      <c r="L183" s="14">
        <f t="shared" si="39"/>
        <v>0.15094097606260148</v>
      </c>
      <c r="M183" s="20">
        <f t="shared" si="38"/>
        <v>3.7088246642264705E-2</v>
      </c>
    </row>
    <row r="184" spans="1:13" x14ac:dyDescent="0.25">
      <c r="A184" s="8">
        <v>39343</v>
      </c>
      <c r="B184" s="9">
        <v>2007.713</v>
      </c>
      <c r="C184">
        <f t="shared" si="28"/>
        <v>6104</v>
      </c>
      <c r="D184" s="10">
        <v>51.24</v>
      </c>
      <c r="E184" s="20">
        <f t="shared" si="29"/>
        <v>2.2281710853421333E-2</v>
      </c>
      <c r="F184" s="18">
        <f t="shared" si="30"/>
        <v>10.915510617235197</v>
      </c>
      <c r="G184" s="14">
        <f t="shared" si="31"/>
        <v>374.12588818981936</v>
      </c>
      <c r="H184" s="14">
        <f t="shared" si="33"/>
        <v>1.5258391283684318</v>
      </c>
      <c r="I184" s="19">
        <f t="shared" si="32"/>
        <v>4.0784109748488468E-3</v>
      </c>
      <c r="J184" s="14">
        <f t="shared" si="34"/>
        <v>53.814488189819372</v>
      </c>
      <c r="K184" s="14">
        <f t="shared" si="39"/>
        <v>15.118087550828534</v>
      </c>
      <c r="L184" s="14">
        <f t="shared" si="39"/>
        <v>0.15501938703745033</v>
      </c>
      <c r="M184" s="20">
        <f t="shared" si="38"/>
        <v>4.116665761711355E-2</v>
      </c>
    </row>
    <row r="185" spans="1:13" x14ac:dyDescent="0.25">
      <c r="A185" s="8">
        <v>39350</v>
      </c>
      <c r="B185" s="9">
        <v>2007.732</v>
      </c>
      <c r="C185">
        <f t="shared" si="28"/>
        <v>6111</v>
      </c>
      <c r="D185" s="10">
        <v>51.54</v>
      </c>
      <c r="E185" s="20">
        <f t="shared" si="29"/>
        <v>4.7746523257331027E-3</v>
      </c>
      <c r="F185" s="18">
        <f t="shared" si="30"/>
        <v>10.92028526956093</v>
      </c>
      <c r="G185" s="14">
        <f t="shared" si="31"/>
        <v>374.45325935737083</v>
      </c>
      <c r="H185" s="14">
        <f t="shared" si="33"/>
        <v>0.32737116755146189</v>
      </c>
      <c r="I185" s="19">
        <f t="shared" si="32"/>
        <v>8.7426443586921835E-4</v>
      </c>
      <c r="J185" s="14">
        <f t="shared" si="34"/>
        <v>54.141859357370834</v>
      </c>
      <c r="K185" s="14">
        <f t="shared" si="39"/>
        <v>15.445458718379996</v>
      </c>
      <c r="L185" s="14">
        <f t="shared" si="39"/>
        <v>0.15589365147331954</v>
      </c>
      <c r="M185" s="20">
        <f t="shared" si="38"/>
        <v>4.2040922052982765E-2</v>
      </c>
    </row>
    <row r="186" spans="1:13" x14ac:dyDescent="0.25">
      <c r="A186" s="8">
        <v>39357</v>
      </c>
      <c r="B186" s="9">
        <v>2007.751</v>
      </c>
      <c r="C186">
        <f t="shared" si="28"/>
        <v>6118</v>
      </c>
      <c r="D186" s="10">
        <v>51.34</v>
      </c>
      <c r="E186" s="20">
        <f t="shared" si="29"/>
        <v>-3.1831015504886974E-3</v>
      </c>
      <c r="F186" s="18">
        <f t="shared" si="30"/>
        <v>10.917102168010441</v>
      </c>
      <c r="G186" s="14">
        <f t="shared" si="31"/>
        <v>374.23499600488378</v>
      </c>
      <c r="H186" s="14">
        <f t="shared" si="33"/>
        <v>-0.21826335248704254</v>
      </c>
      <c r="I186" s="19">
        <f t="shared" si="32"/>
        <v>-5.832253926465877E-4</v>
      </c>
      <c r="J186" s="14">
        <f t="shared" si="34"/>
        <v>53.923596004883791</v>
      </c>
      <c r="K186" s="14">
        <f t="shared" si="39"/>
        <v>15.227195365892953</v>
      </c>
      <c r="L186" s="14">
        <f t="shared" si="39"/>
        <v>0.15531042608067297</v>
      </c>
      <c r="M186" s="20">
        <f t="shared" si="38"/>
        <v>4.1457696660336177E-2</v>
      </c>
    </row>
    <row r="187" spans="1:13" x14ac:dyDescent="0.25">
      <c r="A187" s="8">
        <v>39364</v>
      </c>
      <c r="B187" s="9">
        <v>2007.77</v>
      </c>
      <c r="C187">
        <f t="shared" si="28"/>
        <v>6125</v>
      </c>
      <c r="D187" s="10">
        <v>51.94</v>
      </c>
      <c r="E187" s="20">
        <f t="shared" si="29"/>
        <v>9.5493046514662054E-3</v>
      </c>
      <c r="F187" s="18">
        <f t="shared" si="30"/>
        <v>10.926651472661908</v>
      </c>
      <c r="G187" s="14">
        <f t="shared" si="31"/>
        <v>374.88997695177738</v>
      </c>
      <c r="H187" s="14">
        <f t="shared" si="33"/>
        <v>0.65498094689360187</v>
      </c>
      <c r="I187" s="19">
        <f t="shared" si="32"/>
        <v>1.7471284567788085E-3</v>
      </c>
      <c r="J187" s="14">
        <f t="shared" si="34"/>
        <v>54.578576951777393</v>
      </c>
      <c r="K187" s="14">
        <f t="shared" si="39"/>
        <v>15.882176312786555</v>
      </c>
      <c r="L187" s="14">
        <f t="shared" si="39"/>
        <v>0.15705755453745177</v>
      </c>
      <c r="M187" s="20">
        <f t="shared" si="38"/>
        <v>4.3204825117114987E-2</v>
      </c>
    </row>
    <row r="188" spans="1:13" x14ac:dyDescent="0.25">
      <c r="A188" s="8">
        <v>39371</v>
      </c>
      <c r="B188" s="9">
        <v>2007.79</v>
      </c>
      <c r="C188">
        <f t="shared" si="28"/>
        <v>6132</v>
      </c>
      <c r="D188" s="10">
        <v>51.64</v>
      </c>
      <c r="E188" s="20">
        <f t="shared" si="29"/>
        <v>-4.7746523257331027E-3</v>
      </c>
      <c r="F188" s="18">
        <f t="shared" si="30"/>
        <v>10.921876820336175</v>
      </c>
      <c r="G188" s="14">
        <f t="shared" si="31"/>
        <v>374.56241489479345</v>
      </c>
      <c r="H188" s="14">
        <f t="shared" si="33"/>
        <v>-0.32756205698393615</v>
      </c>
      <c r="I188" s="19">
        <f t="shared" si="32"/>
        <v>-8.7451928959808025E-4</v>
      </c>
      <c r="J188" s="14">
        <f t="shared" si="34"/>
        <v>54.251014894793457</v>
      </c>
      <c r="K188" s="14">
        <f t="shared" si="39"/>
        <v>15.554614255802619</v>
      </c>
      <c r="L188" s="14">
        <f t="shared" si="39"/>
        <v>0.15618303524785368</v>
      </c>
      <c r="M188" s="20">
        <f t="shared" si="38"/>
        <v>4.2330305827516908E-2</v>
      </c>
    </row>
    <row r="189" spans="1:13" x14ac:dyDescent="0.25">
      <c r="A189" s="8">
        <v>39378</v>
      </c>
      <c r="B189" s="9">
        <v>2007.809</v>
      </c>
      <c r="C189">
        <f t="shared" si="28"/>
        <v>6139</v>
      </c>
      <c r="D189" s="10">
        <v>51.74</v>
      </c>
      <c r="E189" s="20">
        <f t="shared" si="29"/>
        <v>1.5915507752444053E-3</v>
      </c>
      <c r="F189" s="18">
        <f t="shared" si="30"/>
        <v>10.923468371111419</v>
      </c>
      <c r="G189" s="14">
        <f t="shared" si="31"/>
        <v>374.67158633966869</v>
      </c>
      <c r="H189" s="14">
        <f t="shared" si="33"/>
        <v>0.10917144487524411</v>
      </c>
      <c r="I189" s="19">
        <f t="shared" si="32"/>
        <v>2.9137903394753763E-4</v>
      </c>
      <c r="J189" s="14">
        <f t="shared" si="34"/>
        <v>54.360186339668701</v>
      </c>
      <c r="K189" s="14">
        <f t="shared" ref="K189:L204" si="40">H189+K188</f>
        <v>15.663785700677863</v>
      </c>
      <c r="L189" s="14">
        <f t="shared" si="40"/>
        <v>0.15647441428180123</v>
      </c>
      <c r="M189" s="20">
        <f t="shared" si="38"/>
        <v>4.2621684861464448E-2</v>
      </c>
    </row>
    <row r="190" spans="1:13" x14ac:dyDescent="0.25">
      <c r="A190" s="8">
        <v>39392</v>
      </c>
      <c r="B190" s="9">
        <v>2007.847</v>
      </c>
      <c r="C190">
        <f t="shared" si="28"/>
        <v>6153</v>
      </c>
      <c r="D190" s="10">
        <v>51.29</v>
      </c>
      <c r="E190" s="20">
        <f t="shared" si="29"/>
        <v>-7.1619784885997668E-3</v>
      </c>
      <c r="F190" s="18">
        <f t="shared" si="30"/>
        <v>10.916306392622818</v>
      </c>
      <c r="G190" s="14">
        <f t="shared" si="31"/>
        <v>374.18044010891992</v>
      </c>
      <c r="H190" s="14">
        <f t="shared" si="33"/>
        <v>-0.49114623074876818</v>
      </c>
      <c r="I190" s="19">
        <f t="shared" si="32"/>
        <v>-1.3125919425553104E-3</v>
      </c>
      <c r="J190" s="14">
        <f t="shared" si="34"/>
        <v>53.869040108919933</v>
      </c>
      <c r="K190" s="14">
        <f t="shared" si="40"/>
        <v>15.172639469929095</v>
      </c>
      <c r="L190" s="14">
        <f t="shared" si="40"/>
        <v>0.15516182233924591</v>
      </c>
      <c r="M190" s="20">
        <f t="shared" si="38"/>
        <v>4.1309092918909135E-2</v>
      </c>
    </row>
    <row r="191" spans="1:13" x14ac:dyDescent="0.25">
      <c r="A191" s="8">
        <v>39399</v>
      </c>
      <c r="B191" s="9">
        <v>2007.866</v>
      </c>
      <c r="C191">
        <f t="shared" si="28"/>
        <v>6160</v>
      </c>
      <c r="D191" s="10">
        <v>51.24</v>
      </c>
      <c r="E191" s="20">
        <f t="shared" si="29"/>
        <v>-7.9577538762214605E-4</v>
      </c>
      <c r="F191" s="18">
        <f t="shared" si="30"/>
        <v>10.915510617235196</v>
      </c>
      <c r="G191" s="14">
        <f t="shared" si="31"/>
        <v>374.12588818981925</v>
      </c>
      <c r="H191" s="14">
        <f t="shared" si="33"/>
        <v>-5.4551919100674695E-2</v>
      </c>
      <c r="I191" s="19">
        <f t="shared" si="32"/>
        <v>-1.4581166613361125E-4</v>
      </c>
      <c r="J191" s="14">
        <f t="shared" si="34"/>
        <v>53.814488189819258</v>
      </c>
      <c r="K191" s="14">
        <f t="shared" si="40"/>
        <v>15.11808755082842</v>
      </c>
      <c r="L191" s="14">
        <f t="shared" si="40"/>
        <v>0.1550160106731123</v>
      </c>
      <c r="M191" s="20">
        <f t="shared" si="38"/>
        <v>4.1163281252775526E-2</v>
      </c>
    </row>
    <row r="192" spans="1:13" x14ac:dyDescent="0.25">
      <c r="A192" s="8">
        <v>39413</v>
      </c>
      <c r="B192" s="9">
        <v>2007.904</v>
      </c>
      <c r="C192">
        <f t="shared" si="28"/>
        <v>6174</v>
      </c>
      <c r="D192" s="10">
        <v>51.34</v>
      </c>
      <c r="E192" s="20">
        <f t="shared" si="29"/>
        <v>1.5915507752444053E-3</v>
      </c>
      <c r="F192" s="18">
        <f t="shared" si="30"/>
        <v>10.917102168010439</v>
      </c>
      <c r="G192" s="14">
        <f t="shared" si="31"/>
        <v>374.23499600488367</v>
      </c>
      <c r="H192" s="14">
        <f t="shared" si="33"/>
        <v>0.10910781506441936</v>
      </c>
      <c r="I192" s="19">
        <f t="shared" si="32"/>
        <v>2.9154893644151741E-4</v>
      </c>
      <c r="J192" s="14">
        <f t="shared" si="34"/>
        <v>53.923596004883677</v>
      </c>
      <c r="K192" s="14">
        <f t="shared" si="40"/>
        <v>15.22719536589284</v>
      </c>
      <c r="L192" s="14">
        <f t="shared" si="40"/>
        <v>0.15530755960955381</v>
      </c>
      <c r="M192" s="20">
        <f t="shared" si="38"/>
        <v>4.1454830189217043E-2</v>
      </c>
    </row>
    <row r="193" spans="1:13" x14ac:dyDescent="0.25">
      <c r="A193" s="8">
        <v>39427</v>
      </c>
      <c r="B193" s="9">
        <v>2007.943</v>
      </c>
      <c r="C193">
        <f t="shared" si="28"/>
        <v>6188</v>
      </c>
      <c r="D193" s="10">
        <v>52.74</v>
      </c>
      <c r="E193" s="20">
        <f t="shared" si="29"/>
        <v>2.2281710853421333E-2</v>
      </c>
      <c r="F193" s="18">
        <f t="shared" si="30"/>
        <v>10.939383878863861</v>
      </c>
      <c r="G193" s="14">
        <f t="shared" si="31"/>
        <v>375.76417569832012</v>
      </c>
      <c r="H193" s="14">
        <f t="shared" si="33"/>
        <v>1.529179693436447</v>
      </c>
      <c r="I193" s="19">
        <f t="shared" si="32"/>
        <v>4.069519641127629E-3</v>
      </c>
      <c r="J193" s="14">
        <f t="shared" si="34"/>
        <v>55.452775698320124</v>
      </c>
      <c r="K193" s="14">
        <f t="shared" si="40"/>
        <v>16.756375059329287</v>
      </c>
      <c r="L193" s="14">
        <f t="shared" si="40"/>
        <v>0.15937707925068142</v>
      </c>
      <c r="M193" s="20">
        <f t="shared" si="38"/>
        <v>4.5524349830344674E-2</v>
      </c>
    </row>
    <row r="194" spans="1:13" x14ac:dyDescent="0.25">
      <c r="A194" s="8">
        <v>39463</v>
      </c>
      <c r="B194" s="9">
        <v>2008.0440000000001</v>
      </c>
      <c r="C194">
        <f t="shared" ref="C194:C257" si="41">A194-33239</f>
        <v>6224</v>
      </c>
      <c r="D194" s="10">
        <v>51.74</v>
      </c>
      <c r="E194" s="20">
        <f t="shared" si="29"/>
        <v>-1.5915507752443828E-2</v>
      </c>
      <c r="F194" s="18">
        <f t="shared" si="30"/>
        <v>10.923468371111417</v>
      </c>
      <c r="G194" s="14">
        <f t="shared" si="31"/>
        <v>374.67158633966858</v>
      </c>
      <c r="H194" s="14">
        <f t="shared" si="33"/>
        <v>-1.0925893586515372</v>
      </c>
      <c r="I194" s="19">
        <f t="shared" si="32"/>
        <v>-2.9161254775829757E-3</v>
      </c>
      <c r="J194" s="14">
        <f t="shared" si="34"/>
        <v>54.360186339668587</v>
      </c>
      <c r="K194" s="14">
        <f>H194</f>
        <v>-1.0925893586515372</v>
      </c>
      <c r="L194" s="14">
        <f t="shared" si="40"/>
        <v>0.15646095377309846</v>
      </c>
      <c r="M194" s="20">
        <f>I194</f>
        <v>-2.9161254775829757E-3</v>
      </c>
    </row>
    <row r="195" spans="1:13" x14ac:dyDescent="0.25">
      <c r="A195" s="8">
        <v>39490</v>
      </c>
      <c r="B195" s="9">
        <v>2008.117</v>
      </c>
      <c r="C195">
        <f t="shared" si="41"/>
        <v>6251</v>
      </c>
      <c r="D195" s="10">
        <v>51.34</v>
      </c>
      <c r="E195" s="20">
        <f t="shared" ref="E195:E258" si="42">((D195-D194)/10)/(2*3.14159)</f>
        <v>-6.3662031009775076E-3</v>
      </c>
      <c r="F195" s="18">
        <f t="shared" ref="F195:F258" si="43">E195+F194</f>
        <v>10.917102168010439</v>
      </c>
      <c r="G195" s="14">
        <f t="shared" ref="G195:G258" si="44">3.14*(F195^2)</f>
        <v>374.23499600488367</v>
      </c>
      <c r="H195" s="14">
        <f t="shared" si="33"/>
        <v>-0.43659033478490983</v>
      </c>
      <c r="I195" s="19">
        <f t="shared" ref="I195:I258" si="45">H195/G195</f>
        <v>-1.1666208116442763E-3</v>
      </c>
      <c r="J195" s="14">
        <f t="shared" si="34"/>
        <v>53.923596004883677</v>
      </c>
      <c r="K195" s="14">
        <f t="shared" ref="K195:L210" si="46">H195+K194</f>
        <v>-1.529179693436447</v>
      </c>
      <c r="L195" s="14">
        <f t="shared" si="40"/>
        <v>0.15529433296145417</v>
      </c>
      <c r="M195" s="20">
        <f t="shared" ref="M195:M231" si="47">I195+M194</f>
        <v>-4.0827462892272515E-3</v>
      </c>
    </row>
    <row r="196" spans="1:13" x14ac:dyDescent="0.25">
      <c r="A196" s="8">
        <v>39514</v>
      </c>
      <c r="B196" s="9">
        <v>2008.183</v>
      </c>
      <c r="C196">
        <f t="shared" si="41"/>
        <v>6275</v>
      </c>
      <c r="D196" s="10">
        <v>51.34</v>
      </c>
      <c r="E196" s="20">
        <f t="shared" si="42"/>
        <v>0</v>
      </c>
      <c r="F196" s="18">
        <f t="shared" si="43"/>
        <v>10.917102168010439</v>
      </c>
      <c r="G196" s="14">
        <f t="shared" si="44"/>
        <v>374.23499600488367</v>
      </c>
      <c r="H196" s="14">
        <f t="shared" ref="H196:H259" si="48">G196-G195</f>
        <v>0</v>
      </c>
      <c r="I196" s="19">
        <f t="shared" si="45"/>
        <v>0</v>
      </c>
      <c r="J196" s="14">
        <f t="shared" ref="J196:J259" si="49">H196+J195</f>
        <v>53.923596004883677</v>
      </c>
      <c r="K196" s="14">
        <f t="shared" si="46"/>
        <v>-1.529179693436447</v>
      </c>
      <c r="L196" s="14">
        <f t="shared" si="40"/>
        <v>0.15529433296145417</v>
      </c>
      <c r="M196" s="20">
        <f t="shared" si="47"/>
        <v>-4.0827462892272515E-3</v>
      </c>
    </row>
    <row r="197" spans="1:13" x14ac:dyDescent="0.25">
      <c r="A197" s="8">
        <v>39532</v>
      </c>
      <c r="B197" s="9">
        <v>2008.232</v>
      </c>
      <c r="C197">
        <f t="shared" si="41"/>
        <v>6293</v>
      </c>
      <c r="D197" s="10">
        <v>51.54</v>
      </c>
      <c r="E197" s="20">
        <f t="shared" si="42"/>
        <v>3.1831015504886974E-3</v>
      </c>
      <c r="F197" s="18">
        <f t="shared" si="43"/>
        <v>10.920285269560928</v>
      </c>
      <c r="G197" s="14">
        <f t="shared" si="44"/>
        <v>374.45325935737071</v>
      </c>
      <c r="H197" s="14">
        <f t="shared" si="48"/>
        <v>0.21826335248704254</v>
      </c>
      <c r="I197" s="19">
        <f t="shared" si="45"/>
        <v>5.8288543905752558E-4</v>
      </c>
      <c r="J197" s="14">
        <f t="shared" si="49"/>
        <v>54.14185935737072</v>
      </c>
      <c r="K197" s="14">
        <f t="shared" si="46"/>
        <v>-1.3109163409494045</v>
      </c>
      <c r="L197" s="14">
        <f t="shared" si="40"/>
        <v>0.15587721840051169</v>
      </c>
      <c r="M197" s="20">
        <f t="shared" si="47"/>
        <v>-3.4998608501697259E-3</v>
      </c>
    </row>
    <row r="198" spans="1:13" x14ac:dyDescent="0.25">
      <c r="A198" s="8">
        <v>39539</v>
      </c>
      <c r="B198" s="9">
        <v>2008.251</v>
      </c>
      <c r="C198">
        <f t="shared" si="41"/>
        <v>6300</v>
      </c>
      <c r="D198" s="10">
        <v>51.54</v>
      </c>
      <c r="E198" s="20">
        <f t="shared" si="42"/>
        <v>0</v>
      </c>
      <c r="F198" s="18">
        <f t="shared" si="43"/>
        <v>10.920285269560928</v>
      </c>
      <c r="G198" s="14">
        <f t="shared" si="44"/>
        <v>374.45325935737071</v>
      </c>
      <c r="H198" s="14">
        <f t="shared" si="48"/>
        <v>0</v>
      </c>
      <c r="I198" s="19">
        <f t="shared" si="45"/>
        <v>0</v>
      </c>
      <c r="J198" s="14">
        <f t="shared" si="49"/>
        <v>54.14185935737072</v>
      </c>
      <c r="K198" s="14">
        <f t="shared" si="46"/>
        <v>-1.3109163409494045</v>
      </c>
      <c r="L198" s="14">
        <f t="shared" si="40"/>
        <v>0.15587721840051169</v>
      </c>
      <c r="M198" s="20">
        <f t="shared" si="47"/>
        <v>-3.4998608501697259E-3</v>
      </c>
    </row>
    <row r="199" spans="1:13" x14ac:dyDescent="0.25">
      <c r="A199" s="8">
        <v>39546</v>
      </c>
      <c r="B199" s="9">
        <v>2008.27</v>
      </c>
      <c r="C199">
        <f t="shared" si="41"/>
        <v>6307</v>
      </c>
      <c r="D199" s="10">
        <v>51.39</v>
      </c>
      <c r="E199" s="20">
        <f t="shared" si="42"/>
        <v>-2.3873261628665514E-3</v>
      </c>
      <c r="F199" s="18">
        <f t="shared" si="43"/>
        <v>10.917897943398062</v>
      </c>
      <c r="G199" s="14">
        <f t="shared" si="44"/>
        <v>374.28955587771065</v>
      </c>
      <c r="H199" s="14">
        <f t="shared" si="48"/>
        <v>-0.16370347966005738</v>
      </c>
      <c r="I199" s="19">
        <f t="shared" si="45"/>
        <v>-4.3737121992670086E-4</v>
      </c>
      <c r="J199" s="14">
        <f t="shared" si="49"/>
        <v>53.978155877710662</v>
      </c>
      <c r="K199" s="14">
        <f t="shared" si="46"/>
        <v>-1.4746198206094618</v>
      </c>
      <c r="L199" s="14">
        <f t="shared" si="40"/>
        <v>0.15543984718058498</v>
      </c>
      <c r="M199" s="20">
        <f t="shared" si="47"/>
        <v>-3.9372320700964266E-3</v>
      </c>
    </row>
    <row r="200" spans="1:13" x14ac:dyDescent="0.25">
      <c r="A200" s="8">
        <v>39553</v>
      </c>
      <c r="B200" s="9">
        <v>2008.29</v>
      </c>
      <c r="C200">
        <f t="shared" si="41"/>
        <v>6314</v>
      </c>
      <c r="D200" s="10">
        <v>52.54</v>
      </c>
      <c r="E200" s="20">
        <f t="shared" si="42"/>
        <v>1.8302833915310377E-2</v>
      </c>
      <c r="F200" s="18">
        <f t="shared" si="43"/>
        <v>10.936200777313372</v>
      </c>
      <c r="G200" s="14">
        <f t="shared" si="44"/>
        <v>375.54553056696818</v>
      </c>
      <c r="H200" s="14">
        <f t="shared" si="48"/>
        <v>1.2559746892575276</v>
      </c>
      <c r="I200" s="19">
        <f t="shared" si="45"/>
        <v>3.3444005773716943E-3</v>
      </c>
      <c r="J200" s="14">
        <f t="shared" si="49"/>
        <v>55.23413056696819</v>
      </c>
      <c r="K200" s="14">
        <f t="shared" si="46"/>
        <v>-0.2186451313519342</v>
      </c>
      <c r="L200" s="14">
        <f t="shared" si="40"/>
        <v>0.15878424775795669</v>
      </c>
      <c r="M200" s="20">
        <f t="shared" si="47"/>
        <v>-5.9283149272473237E-4</v>
      </c>
    </row>
    <row r="201" spans="1:13" x14ac:dyDescent="0.25">
      <c r="A201" s="8">
        <v>39560</v>
      </c>
      <c r="B201" s="9">
        <v>2008.309</v>
      </c>
      <c r="C201">
        <f t="shared" si="41"/>
        <v>6321</v>
      </c>
      <c r="D201" s="10">
        <v>52.64</v>
      </c>
      <c r="E201" s="20">
        <f t="shared" si="42"/>
        <v>1.5915507752444053E-3</v>
      </c>
      <c r="F201" s="18">
        <f t="shared" si="43"/>
        <v>10.937792328088616</v>
      </c>
      <c r="G201" s="14">
        <f t="shared" si="44"/>
        <v>375.65484517891775</v>
      </c>
      <c r="H201" s="14">
        <f t="shared" si="48"/>
        <v>0.10931461194957137</v>
      </c>
      <c r="I201" s="19">
        <f t="shared" si="45"/>
        <v>2.9099747641350601E-4</v>
      </c>
      <c r="J201" s="14">
        <f t="shared" si="49"/>
        <v>55.343445178917761</v>
      </c>
      <c r="K201" s="14">
        <f t="shared" si="46"/>
        <v>-0.10933051940236282</v>
      </c>
      <c r="L201" s="14">
        <f t="shared" si="40"/>
        <v>0.15907524523437019</v>
      </c>
      <c r="M201" s="20">
        <f t="shared" si="47"/>
        <v>-3.0183401631122636E-4</v>
      </c>
    </row>
    <row r="202" spans="1:13" x14ac:dyDescent="0.25">
      <c r="A202" s="8">
        <v>39567</v>
      </c>
      <c r="B202" s="9">
        <v>2008.328</v>
      </c>
      <c r="C202">
        <f t="shared" si="41"/>
        <v>6328</v>
      </c>
      <c r="D202" s="10">
        <v>53.24</v>
      </c>
      <c r="E202" s="20">
        <f t="shared" si="42"/>
        <v>9.5493046514663182E-3</v>
      </c>
      <c r="F202" s="18">
        <f t="shared" si="43"/>
        <v>10.947341632740082</v>
      </c>
      <c r="G202" s="14">
        <f t="shared" si="44"/>
        <v>376.31106690712227</v>
      </c>
      <c r="H202" s="14">
        <f t="shared" si="48"/>
        <v>0.65622172820451397</v>
      </c>
      <c r="I202" s="19">
        <f t="shared" si="45"/>
        <v>1.7438278751617921E-3</v>
      </c>
      <c r="J202" s="14">
        <f t="shared" si="49"/>
        <v>55.999666907122275</v>
      </c>
      <c r="K202" s="14">
        <f t="shared" si="46"/>
        <v>0.54689120880215114</v>
      </c>
      <c r="L202" s="14">
        <f t="shared" si="40"/>
        <v>0.16081907310953197</v>
      </c>
      <c r="M202" s="20">
        <f t="shared" si="47"/>
        <v>1.4419938588505657E-3</v>
      </c>
    </row>
    <row r="203" spans="1:13" x14ac:dyDescent="0.25">
      <c r="A203" s="8">
        <v>39574</v>
      </c>
      <c r="B203" s="9">
        <v>2008.347</v>
      </c>
      <c r="C203">
        <f t="shared" si="41"/>
        <v>6335</v>
      </c>
      <c r="D203" s="10">
        <v>54.54</v>
      </c>
      <c r="E203" s="20">
        <f t="shared" si="42"/>
        <v>2.0690160078176933E-2</v>
      </c>
      <c r="F203" s="18">
        <f t="shared" si="43"/>
        <v>10.968031792818259</v>
      </c>
      <c r="G203" s="14">
        <f t="shared" si="44"/>
        <v>377.73484522197447</v>
      </c>
      <c r="H203" s="14">
        <f t="shared" si="48"/>
        <v>1.4237783148521999</v>
      </c>
      <c r="I203" s="19">
        <f t="shared" si="45"/>
        <v>3.7692533078739977E-3</v>
      </c>
      <c r="J203" s="14">
        <f t="shared" si="49"/>
        <v>57.423445221974475</v>
      </c>
      <c r="K203" s="14">
        <f t="shared" si="46"/>
        <v>1.970669523654351</v>
      </c>
      <c r="L203" s="14">
        <f t="shared" si="40"/>
        <v>0.16458832641740598</v>
      </c>
      <c r="M203" s="20">
        <f t="shared" si="47"/>
        <v>5.2112471667245634E-3</v>
      </c>
    </row>
    <row r="204" spans="1:13" x14ac:dyDescent="0.25">
      <c r="A204" s="8">
        <v>39580</v>
      </c>
      <c r="B204" s="9">
        <v>2008.3630000000001</v>
      </c>
      <c r="C204">
        <f t="shared" si="41"/>
        <v>6341</v>
      </c>
      <c r="D204" s="10">
        <v>55.54</v>
      </c>
      <c r="E204" s="20">
        <f t="shared" si="42"/>
        <v>1.5915507752443828E-2</v>
      </c>
      <c r="F204" s="18">
        <f t="shared" si="43"/>
        <v>10.983947300570703</v>
      </c>
      <c r="G204" s="14">
        <f t="shared" si="44"/>
        <v>378.83188866738334</v>
      </c>
      <c r="H204" s="14">
        <f t="shared" si="48"/>
        <v>1.0970434454088718</v>
      </c>
      <c r="I204" s="19">
        <f t="shared" si="45"/>
        <v>2.8958582374570968E-3</v>
      </c>
      <c r="J204" s="14">
        <f t="shared" si="49"/>
        <v>58.520488667383347</v>
      </c>
      <c r="K204" s="14">
        <f t="shared" si="46"/>
        <v>3.0677129690632228</v>
      </c>
      <c r="L204" s="14">
        <f t="shared" si="40"/>
        <v>0.16748418465486309</v>
      </c>
      <c r="M204" s="20">
        <f t="shared" si="47"/>
        <v>8.1071054041816602E-3</v>
      </c>
    </row>
    <row r="205" spans="1:13" x14ac:dyDescent="0.25">
      <c r="A205" s="8">
        <v>39588</v>
      </c>
      <c r="B205" s="9">
        <v>2008.385</v>
      </c>
      <c r="C205">
        <f t="shared" si="41"/>
        <v>6349</v>
      </c>
      <c r="D205" s="10">
        <v>56.84</v>
      </c>
      <c r="E205" s="20">
        <f t="shared" si="42"/>
        <v>2.069016007817704E-2</v>
      </c>
      <c r="F205" s="18">
        <f t="shared" si="43"/>
        <v>11.00463746064888</v>
      </c>
      <c r="G205" s="14">
        <f t="shared" si="44"/>
        <v>380.26042331059421</v>
      </c>
      <c r="H205" s="14">
        <f t="shared" si="48"/>
        <v>1.4285346432108668</v>
      </c>
      <c r="I205" s="19">
        <f t="shared" si="45"/>
        <v>3.7567271155222195E-3</v>
      </c>
      <c r="J205" s="14">
        <f t="shared" si="49"/>
        <v>59.949023310594214</v>
      </c>
      <c r="K205" s="14">
        <f t="shared" si="46"/>
        <v>4.4962476122740895</v>
      </c>
      <c r="L205" s="14">
        <f t="shared" si="46"/>
        <v>0.17124091177038531</v>
      </c>
      <c r="M205" s="20">
        <f t="shared" si="47"/>
        <v>1.186383251970388E-2</v>
      </c>
    </row>
    <row r="206" spans="1:13" x14ac:dyDescent="0.25">
      <c r="A206" s="8">
        <v>39595</v>
      </c>
      <c r="B206" s="9">
        <v>2008.404</v>
      </c>
      <c r="C206">
        <f t="shared" si="41"/>
        <v>6356</v>
      </c>
      <c r="D206" s="10">
        <v>57.84</v>
      </c>
      <c r="E206" s="20">
        <f t="shared" si="42"/>
        <v>1.5915507752443828E-2</v>
      </c>
      <c r="F206" s="18">
        <f t="shared" si="43"/>
        <v>11.020552968401324</v>
      </c>
      <c r="G206" s="14">
        <f t="shared" si="44"/>
        <v>381.36112547012522</v>
      </c>
      <c r="H206" s="14">
        <f t="shared" si="48"/>
        <v>1.1007021595310107</v>
      </c>
      <c r="I206" s="19">
        <f t="shared" si="45"/>
        <v>2.886246358157543E-3</v>
      </c>
      <c r="J206" s="14">
        <f t="shared" si="49"/>
        <v>61.049725470125225</v>
      </c>
      <c r="K206" s="14">
        <f t="shared" si="46"/>
        <v>5.5969497718051002</v>
      </c>
      <c r="L206" s="14">
        <f t="shared" si="46"/>
        <v>0.17412715812854285</v>
      </c>
      <c r="M206" s="20">
        <f t="shared" si="47"/>
        <v>1.4750078877861422E-2</v>
      </c>
    </row>
    <row r="207" spans="1:13" x14ac:dyDescent="0.25">
      <c r="A207" s="8">
        <v>39601</v>
      </c>
      <c r="B207" s="9">
        <v>2008.421</v>
      </c>
      <c r="C207">
        <f t="shared" si="41"/>
        <v>6362</v>
      </c>
      <c r="D207" s="10">
        <v>58.34</v>
      </c>
      <c r="E207" s="20">
        <f t="shared" si="42"/>
        <v>7.9577538762219142E-3</v>
      </c>
      <c r="F207" s="18">
        <f t="shared" si="43"/>
        <v>11.028510722277545</v>
      </c>
      <c r="G207" s="14">
        <f t="shared" si="44"/>
        <v>381.91207307936708</v>
      </c>
      <c r="H207" s="14">
        <f t="shared" si="48"/>
        <v>0.55094760924185948</v>
      </c>
      <c r="I207" s="19">
        <f t="shared" si="45"/>
        <v>1.4426032798585142E-3</v>
      </c>
      <c r="J207" s="14">
        <f t="shared" si="49"/>
        <v>61.600673079367084</v>
      </c>
      <c r="K207" s="14">
        <f t="shared" si="46"/>
        <v>6.1478973810469597</v>
      </c>
      <c r="L207" s="14">
        <f t="shared" si="46"/>
        <v>0.17556976140840136</v>
      </c>
      <c r="M207" s="20">
        <f t="shared" si="47"/>
        <v>1.6192682157719938E-2</v>
      </c>
    </row>
    <row r="208" spans="1:13" x14ac:dyDescent="0.25">
      <c r="A208" s="8">
        <v>39608</v>
      </c>
      <c r="B208" s="9">
        <v>2008.44</v>
      </c>
      <c r="C208">
        <f t="shared" si="41"/>
        <v>6369</v>
      </c>
      <c r="D208" s="10">
        <v>59.34</v>
      </c>
      <c r="E208" s="20">
        <f t="shared" si="42"/>
        <v>1.5915507752443828E-2</v>
      </c>
      <c r="F208" s="18">
        <f t="shared" si="43"/>
        <v>11.044426230029989</v>
      </c>
      <c r="G208" s="14">
        <f t="shared" si="44"/>
        <v>383.01516135680373</v>
      </c>
      <c r="H208" s="14">
        <f t="shared" si="48"/>
        <v>1.1030882774366546</v>
      </c>
      <c r="I208" s="19">
        <f t="shared" si="45"/>
        <v>2.8800120432022677E-3</v>
      </c>
      <c r="J208" s="14">
        <f t="shared" si="49"/>
        <v>62.703761356803739</v>
      </c>
      <c r="K208" s="14">
        <f t="shared" si="46"/>
        <v>7.2509856584836143</v>
      </c>
      <c r="L208" s="14">
        <f t="shared" si="46"/>
        <v>0.17844977345160362</v>
      </c>
      <c r="M208" s="20">
        <f t="shared" si="47"/>
        <v>1.9072694200922204E-2</v>
      </c>
    </row>
    <row r="209" spans="1:13" x14ac:dyDescent="0.25">
      <c r="A209" s="8">
        <v>39616</v>
      </c>
      <c r="B209" s="9">
        <v>2008.462</v>
      </c>
      <c r="C209">
        <f t="shared" si="41"/>
        <v>6377</v>
      </c>
      <c r="D209" s="10">
        <v>59.99</v>
      </c>
      <c r="E209" s="20">
        <f t="shared" si="42"/>
        <v>1.0345080039088466E-2</v>
      </c>
      <c r="F209" s="18">
        <f t="shared" si="43"/>
        <v>11.054771310069079</v>
      </c>
      <c r="G209" s="14">
        <f t="shared" si="44"/>
        <v>383.73302177428894</v>
      </c>
      <c r="H209" s="14">
        <f t="shared" si="48"/>
        <v>0.71786041748521257</v>
      </c>
      <c r="I209" s="19">
        <f t="shared" si="45"/>
        <v>1.8707288055794602E-3</v>
      </c>
      <c r="J209" s="14">
        <f t="shared" si="49"/>
        <v>63.421621774288951</v>
      </c>
      <c r="K209" s="14">
        <f t="shared" si="46"/>
        <v>7.9688460759688269</v>
      </c>
      <c r="L209" s="14">
        <f t="shared" si="46"/>
        <v>0.18032050225718307</v>
      </c>
      <c r="M209" s="20">
        <f t="shared" si="47"/>
        <v>2.0943423006501663E-2</v>
      </c>
    </row>
    <row r="210" spans="1:13" x14ac:dyDescent="0.25">
      <c r="A210" s="8">
        <v>39623</v>
      </c>
      <c r="B210" s="9">
        <v>2008.481</v>
      </c>
      <c r="C210">
        <f t="shared" si="41"/>
        <v>6384</v>
      </c>
      <c r="D210" s="10">
        <v>60.24</v>
      </c>
      <c r="E210" s="20">
        <f t="shared" si="42"/>
        <v>3.9788769381109571E-3</v>
      </c>
      <c r="F210" s="18">
        <f t="shared" si="43"/>
        <v>11.05875018700719</v>
      </c>
      <c r="G210" s="14">
        <f t="shared" si="44"/>
        <v>384.00930089370308</v>
      </c>
      <c r="H210" s="14">
        <f t="shared" si="48"/>
        <v>0.27627911941414141</v>
      </c>
      <c r="I210" s="19">
        <f t="shared" si="45"/>
        <v>7.1945944739139984E-4</v>
      </c>
      <c r="J210" s="14">
        <f t="shared" si="49"/>
        <v>63.697900893703093</v>
      </c>
      <c r="K210" s="14">
        <f t="shared" si="46"/>
        <v>8.2451251953829683</v>
      </c>
      <c r="L210" s="14">
        <f t="shared" si="46"/>
        <v>0.18103996170457448</v>
      </c>
      <c r="M210" s="20">
        <f t="shared" si="47"/>
        <v>2.1662882453893063E-2</v>
      </c>
    </row>
    <row r="211" spans="1:13" x14ac:dyDescent="0.25">
      <c r="A211" s="8">
        <v>39631</v>
      </c>
      <c r="B211" s="9">
        <v>2008.5029999999999</v>
      </c>
      <c r="C211">
        <f t="shared" si="41"/>
        <v>6392</v>
      </c>
      <c r="D211" s="10">
        <v>60.89</v>
      </c>
      <c r="E211" s="20">
        <f t="shared" si="42"/>
        <v>1.0345080039088466E-2</v>
      </c>
      <c r="F211" s="18">
        <f t="shared" si="43"/>
        <v>11.069095267046279</v>
      </c>
      <c r="G211" s="14">
        <f t="shared" si="44"/>
        <v>384.72809189717157</v>
      </c>
      <c r="H211" s="14">
        <f t="shared" si="48"/>
        <v>0.7187910034684819</v>
      </c>
      <c r="I211" s="19">
        <f t="shared" si="45"/>
        <v>1.868309121707175E-3</v>
      </c>
      <c r="J211" s="14">
        <f t="shared" si="49"/>
        <v>64.416691897171575</v>
      </c>
      <c r="K211" s="14">
        <f t="shared" ref="K211:L226" si="50">H211+K210</f>
        <v>8.9639161988514502</v>
      </c>
      <c r="L211" s="14">
        <f t="shared" si="50"/>
        <v>0.18290827082628167</v>
      </c>
      <c r="M211" s="20">
        <f t="shared" si="47"/>
        <v>2.3531191575600238E-2</v>
      </c>
    </row>
    <row r="212" spans="1:13" x14ac:dyDescent="0.25">
      <c r="A212" s="8">
        <v>39637</v>
      </c>
      <c r="B212" s="9">
        <v>2008.519</v>
      </c>
      <c r="C212">
        <f t="shared" si="41"/>
        <v>6398</v>
      </c>
      <c r="D212" s="10">
        <v>61.44</v>
      </c>
      <c r="E212" s="20">
        <f t="shared" si="42"/>
        <v>8.7535292638440589E-3</v>
      </c>
      <c r="F212" s="18">
        <f t="shared" si="43"/>
        <v>11.077848796310123</v>
      </c>
      <c r="G212" s="14">
        <f t="shared" si="44"/>
        <v>385.33682461527633</v>
      </c>
      <c r="H212" s="14">
        <f t="shared" si="48"/>
        <v>0.60873271810476126</v>
      </c>
      <c r="I212" s="19">
        <f t="shared" si="45"/>
        <v>1.5797418757278788E-3</v>
      </c>
      <c r="J212" s="14">
        <f t="shared" si="49"/>
        <v>65.025424615276336</v>
      </c>
      <c r="K212" s="14">
        <f t="shared" si="50"/>
        <v>9.5726489169562115</v>
      </c>
      <c r="L212" s="14">
        <f t="shared" si="50"/>
        <v>0.18448801270200954</v>
      </c>
      <c r="M212" s="20">
        <f t="shared" si="47"/>
        <v>2.5110933451328116E-2</v>
      </c>
    </row>
    <row r="213" spans="1:13" x14ac:dyDescent="0.25">
      <c r="A213" s="8">
        <v>39644</v>
      </c>
      <c r="B213" s="9">
        <v>2008.538</v>
      </c>
      <c r="C213">
        <f t="shared" si="41"/>
        <v>6405</v>
      </c>
      <c r="D213" s="10">
        <v>61.64</v>
      </c>
      <c r="E213" s="20">
        <f t="shared" si="42"/>
        <v>3.1831015504888106E-3</v>
      </c>
      <c r="F213" s="18">
        <f t="shared" si="43"/>
        <v>11.081031897860612</v>
      </c>
      <c r="G213" s="14">
        <f t="shared" si="44"/>
        <v>385.55830127320968</v>
      </c>
      <c r="H213" s="14">
        <f t="shared" si="48"/>
        <v>0.22147665793335136</v>
      </c>
      <c r="I213" s="19">
        <f t="shared" si="45"/>
        <v>5.7443104506369131E-4</v>
      </c>
      <c r="J213" s="14">
        <f t="shared" si="49"/>
        <v>65.246901273209687</v>
      </c>
      <c r="K213" s="14">
        <f t="shared" si="50"/>
        <v>9.7941255748895628</v>
      </c>
      <c r="L213" s="14">
        <f t="shared" si="50"/>
        <v>0.18506244374707323</v>
      </c>
      <c r="M213" s="20">
        <f t="shared" si="47"/>
        <v>2.5685364496391808E-2</v>
      </c>
    </row>
    <row r="214" spans="1:13" x14ac:dyDescent="0.25">
      <c r="A214" s="8">
        <v>39651</v>
      </c>
      <c r="B214" s="9">
        <v>2008.557</v>
      </c>
      <c r="C214">
        <f t="shared" si="41"/>
        <v>6412</v>
      </c>
      <c r="D214" s="10">
        <v>62.09</v>
      </c>
      <c r="E214" s="20">
        <f t="shared" si="42"/>
        <v>7.1619784885997668E-3</v>
      </c>
      <c r="F214" s="18">
        <f t="shared" si="43"/>
        <v>11.088193876349212</v>
      </c>
      <c r="G214" s="14">
        <f t="shared" si="44"/>
        <v>386.05685640005566</v>
      </c>
      <c r="H214" s="14">
        <f t="shared" si="48"/>
        <v>0.4985551268459858</v>
      </c>
      <c r="I214" s="19">
        <f t="shared" si="45"/>
        <v>1.2914033738319428E-3</v>
      </c>
      <c r="J214" s="14">
        <f t="shared" si="49"/>
        <v>65.745456400055673</v>
      </c>
      <c r="K214" s="14">
        <f t="shared" si="50"/>
        <v>10.292680701735549</v>
      </c>
      <c r="L214" s="14">
        <f t="shared" si="50"/>
        <v>0.18635384712090516</v>
      </c>
      <c r="M214" s="20">
        <f t="shared" si="47"/>
        <v>2.6976767870223753E-2</v>
      </c>
    </row>
    <row r="215" spans="1:13" x14ac:dyDescent="0.25">
      <c r="A215" s="8">
        <v>39658</v>
      </c>
      <c r="B215" s="9">
        <v>2008.577</v>
      </c>
      <c r="C215">
        <f t="shared" si="41"/>
        <v>6419</v>
      </c>
      <c r="D215" s="10">
        <v>62.74</v>
      </c>
      <c r="E215" s="20">
        <f t="shared" si="42"/>
        <v>1.0345080039088466E-2</v>
      </c>
      <c r="F215" s="18">
        <f t="shared" si="43"/>
        <v>11.098538956388301</v>
      </c>
      <c r="G215" s="14">
        <f t="shared" si="44"/>
        <v>386.77756027471185</v>
      </c>
      <c r="H215" s="14">
        <f t="shared" si="48"/>
        <v>0.72070387465618069</v>
      </c>
      <c r="I215" s="19">
        <f t="shared" si="45"/>
        <v>1.8633549323396502E-3</v>
      </c>
      <c r="J215" s="14">
        <f t="shared" si="49"/>
        <v>66.466160274711854</v>
      </c>
      <c r="K215" s="14">
        <f t="shared" si="50"/>
        <v>11.013384576391729</v>
      </c>
      <c r="L215" s="14">
        <f t="shared" si="50"/>
        <v>0.18821720205324483</v>
      </c>
      <c r="M215" s="20">
        <f t="shared" si="47"/>
        <v>2.8840122802563404E-2</v>
      </c>
    </row>
    <row r="216" spans="1:13" x14ac:dyDescent="0.25">
      <c r="A216" s="8">
        <v>39664</v>
      </c>
      <c r="B216" s="9">
        <v>2008.5930000000001</v>
      </c>
      <c r="C216">
        <f t="shared" si="41"/>
        <v>6425</v>
      </c>
      <c r="D216" s="10">
        <v>62.74</v>
      </c>
      <c r="E216" s="20">
        <f t="shared" si="42"/>
        <v>0</v>
      </c>
      <c r="F216" s="18">
        <f t="shared" si="43"/>
        <v>11.098538956388301</v>
      </c>
      <c r="G216" s="14">
        <f t="shared" si="44"/>
        <v>386.77756027471185</v>
      </c>
      <c r="H216" s="14">
        <f t="shared" si="48"/>
        <v>0</v>
      </c>
      <c r="I216" s="19">
        <f t="shared" si="45"/>
        <v>0</v>
      </c>
      <c r="J216" s="14">
        <f t="shared" si="49"/>
        <v>66.466160274711854</v>
      </c>
      <c r="K216" s="14">
        <f t="shared" si="50"/>
        <v>11.013384576391729</v>
      </c>
      <c r="L216" s="14">
        <f t="shared" si="50"/>
        <v>0.18821720205324483</v>
      </c>
      <c r="M216" s="20">
        <f t="shared" si="47"/>
        <v>2.8840122802563404E-2</v>
      </c>
    </row>
    <row r="217" spans="1:13" x14ac:dyDescent="0.25">
      <c r="A217" s="8">
        <v>39672</v>
      </c>
      <c r="B217" s="9">
        <v>2008.615</v>
      </c>
      <c r="C217">
        <f t="shared" si="41"/>
        <v>6433</v>
      </c>
      <c r="D217" s="10">
        <v>64.040000000000006</v>
      </c>
      <c r="E217" s="20">
        <f t="shared" si="42"/>
        <v>2.069016007817704E-2</v>
      </c>
      <c r="F217" s="18">
        <f t="shared" si="43"/>
        <v>11.119229116466478</v>
      </c>
      <c r="G217" s="14">
        <f t="shared" si="44"/>
        <v>388.22098429365434</v>
      </c>
      <c r="H217" s="14">
        <f t="shared" si="48"/>
        <v>1.4434240189424941</v>
      </c>
      <c r="I217" s="19">
        <f t="shared" si="45"/>
        <v>3.7180473939828901E-3</v>
      </c>
      <c r="J217" s="14">
        <f t="shared" si="49"/>
        <v>67.909584293654348</v>
      </c>
      <c r="K217" s="14">
        <f t="shared" si="50"/>
        <v>12.456808595334223</v>
      </c>
      <c r="L217" s="14">
        <f t="shared" si="50"/>
        <v>0.19193524944722773</v>
      </c>
      <c r="M217" s="20">
        <f t="shared" si="47"/>
        <v>3.2558170196546291E-2</v>
      </c>
    </row>
    <row r="218" spans="1:13" x14ac:dyDescent="0.25">
      <c r="A218" s="8">
        <v>39679</v>
      </c>
      <c r="B218" s="9">
        <v>2008.634</v>
      </c>
      <c r="C218">
        <f t="shared" si="41"/>
        <v>6440</v>
      </c>
      <c r="D218" s="10">
        <v>64.94</v>
      </c>
      <c r="E218" s="20">
        <f t="shared" si="42"/>
        <v>1.4323956977199308E-2</v>
      </c>
      <c r="F218" s="18">
        <f t="shared" si="43"/>
        <v>11.133553073443677</v>
      </c>
      <c r="G218" s="14">
        <f t="shared" si="44"/>
        <v>389.22185268304764</v>
      </c>
      <c r="H218" s="14">
        <f t="shared" si="48"/>
        <v>1.0008683893933039</v>
      </c>
      <c r="I218" s="19">
        <f t="shared" si="45"/>
        <v>2.5714599077465831E-3</v>
      </c>
      <c r="J218" s="14">
        <f t="shared" si="49"/>
        <v>68.910452683047652</v>
      </c>
      <c r="K218" s="14">
        <f t="shared" si="50"/>
        <v>13.457676984727527</v>
      </c>
      <c r="L218" s="14">
        <f t="shared" si="50"/>
        <v>0.1945067093549743</v>
      </c>
      <c r="M218" s="20">
        <f t="shared" si="47"/>
        <v>3.5129630104292875E-2</v>
      </c>
    </row>
    <row r="219" spans="1:13" x14ac:dyDescent="0.25">
      <c r="A219" s="8">
        <v>39688</v>
      </c>
      <c r="B219" s="9">
        <v>2008.6579999999999</v>
      </c>
      <c r="C219">
        <f t="shared" si="41"/>
        <v>6449</v>
      </c>
      <c r="D219" s="10">
        <v>67.64</v>
      </c>
      <c r="E219" s="20">
        <f t="shared" si="42"/>
        <v>4.2971870931598377E-2</v>
      </c>
      <c r="F219" s="18">
        <f t="shared" si="43"/>
        <v>11.176524944375275</v>
      </c>
      <c r="G219" s="14">
        <f t="shared" si="44"/>
        <v>392.23218887324225</v>
      </c>
      <c r="H219" s="14">
        <f t="shared" si="48"/>
        <v>3.0103361901946073</v>
      </c>
      <c r="I219" s="19">
        <f t="shared" si="45"/>
        <v>7.6748830809688041E-3</v>
      </c>
      <c r="J219" s="14">
        <f t="shared" si="49"/>
        <v>71.920788873242259</v>
      </c>
      <c r="K219" s="14">
        <f t="shared" si="50"/>
        <v>16.468013174922135</v>
      </c>
      <c r="L219" s="14">
        <f t="shared" si="50"/>
        <v>0.20218159243594311</v>
      </c>
      <c r="M219" s="20">
        <f t="shared" si="47"/>
        <v>4.2804513185261676E-2</v>
      </c>
    </row>
    <row r="220" spans="1:13" x14ac:dyDescent="0.25">
      <c r="A220" s="8">
        <v>39693</v>
      </c>
      <c r="B220" s="9">
        <v>2008.672</v>
      </c>
      <c r="C220">
        <f t="shared" si="41"/>
        <v>6454</v>
      </c>
      <c r="D220" s="10">
        <v>69.290000000000006</v>
      </c>
      <c r="E220" s="20">
        <f t="shared" si="42"/>
        <v>2.6260587791532404E-2</v>
      </c>
      <c r="F220" s="18">
        <f t="shared" si="43"/>
        <v>11.202785532166807</v>
      </c>
      <c r="G220" s="14">
        <f t="shared" si="44"/>
        <v>394.07754755433945</v>
      </c>
      <c r="H220" s="14">
        <f t="shared" si="48"/>
        <v>1.8453586810971956</v>
      </c>
      <c r="I220" s="19">
        <f t="shared" si="45"/>
        <v>4.6827298143463465E-3</v>
      </c>
      <c r="J220" s="14">
        <f t="shared" si="49"/>
        <v>73.766147554339454</v>
      </c>
      <c r="K220" s="14">
        <f t="shared" si="50"/>
        <v>18.31337185601933</v>
      </c>
      <c r="L220" s="14">
        <f t="shared" si="50"/>
        <v>0.20686432225028945</v>
      </c>
      <c r="M220" s="20">
        <f t="shared" si="47"/>
        <v>4.748724299960802E-2</v>
      </c>
    </row>
    <row r="221" spans="1:13" x14ac:dyDescent="0.25">
      <c r="A221" s="8">
        <v>39700</v>
      </c>
      <c r="B221" s="9">
        <v>2008.691</v>
      </c>
      <c r="C221">
        <f t="shared" si="41"/>
        <v>6461</v>
      </c>
      <c r="D221" s="10">
        <v>69.44</v>
      </c>
      <c r="E221" s="20">
        <f t="shared" si="42"/>
        <v>2.3873261628664382E-3</v>
      </c>
      <c r="F221" s="18">
        <f t="shared" si="43"/>
        <v>11.205172858329673</v>
      </c>
      <c r="G221" s="14">
        <f t="shared" si="44"/>
        <v>394.24552218505067</v>
      </c>
      <c r="H221" s="14">
        <f t="shared" si="48"/>
        <v>0.1679746307112282</v>
      </c>
      <c r="I221" s="19">
        <f t="shared" si="45"/>
        <v>4.2606604579870002E-4</v>
      </c>
      <c r="J221" s="14">
        <f t="shared" si="49"/>
        <v>73.934122185050683</v>
      </c>
      <c r="K221" s="14">
        <f t="shared" si="50"/>
        <v>18.481346486730558</v>
      </c>
      <c r="L221" s="14">
        <f t="shared" si="50"/>
        <v>0.20729038829608815</v>
      </c>
      <c r="M221" s="20">
        <f t="shared" si="47"/>
        <v>4.7913309045406721E-2</v>
      </c>
    </row>
    <row r="222" spans="1:13" x14ac:dyDescent="0.25">
      <c r="A222" s="8">
        <v>39707</v>
      </c>
      <c r="B222" s="9">
        <v>2008.71</v>
      </c>
      <c r="C222">
        <f t="shared" si="41"/>
        <v>6468</v>
      </c>
      <c r="D222" s="10">
        <v>69.64</v>
      </c>
      <c r="E222" s="20">
        <f t="shared" si="42"/>
        <v>3.1831015504888106E-3</v>
      </c>
      <c r="F222" s="18">
        <f t="shared" si="43"/>
        <v>11.208355959880162</v>
      </c>
      <c r="G222" s="14">
        <f t="shared" si="44"/>
        <v>394.46954403541685</v>
      </c>
      <c r="H222" s="14">
        <f t="shared" si="48"/>
        <v>0.22402185036617084</v>
      </c>
      <c r="I222" s="19">
        <f t="shared" si="45"/>
        <v>5.6790658177163962E-4</v>
      </c>
      <c r="J222" s="14">
        <f t="shared" si="49"/>
        <v>74.158144035416854</v>
      </c>
      <c r="K222" s="14">
        <f t="shared" si="50"/>
        <v>18.705368337096729</v>
      </c>
      <c r="L222" s="14">
        <f t="shared" si="50"/>
        <v>0.20785829487785978</v>
      </c>
      <c r="M222" s="20">
        <f t="shared" si="47"/>
        <v>4.8481215627178359E-2</v>
      </c>
    </row>
    <row r="223" spans="1:13" x14ac:dyDescent="0.25">
      <c r="A223" s="8">
        <v>39714</v>
      </c>
      <c r="B223" s="9">
        <v>2008.73</v>
      </c>
      <c r="C223">
        <f t="shared" si="41"/>
        <v>6475</v>
      </c>
      <c r="D223" s="10">
        <v>69.44</v>
      </c>
      <c r="E223" s="20">
        <f t="shared" si="42"/>
        <v>-3.1831015504888106E-3</v>
      </c>
      <c r="F223" s="18">
        <f t="shared" si="43"/>
        <v>11.205172858329673</v>
      </c>
      <c r="G223" s="14">
        <f t="shared" si="44"/>
        <v>394.24552218505067</v>
      </c>
      <c r="H223" s="14">
        <f t="shared" si="48"/>
        <v>-0.22402185036617084</v>
      </c>
      <c r="I223" s="19">
        <f t="shared" si="45"/>
        <v>-5.6822928292136598E-4</v>
      </c>
      <c r="J223" s="14">
        <f t="shared" si="49"/>
        <v>73.934122185050683</v>
      </c>
      <c r="K223" s="14">
        <f t="shared" si="50"/>
        <v>18.481346486730558</v>
      </c>
      <c r="L223" s="14">
        <f t="shared" si="50"/>
        <v>0.20729006559493843</v>
      </c>
      <c r="M223" s="20">
        <f t="shared" si="47"/>
        <v>4.7912986344256996E-2</v>
      </c>
    </row>
    <row r="224" spans="1:13" x14ac:dyDescent="0.25">
      <c r="A224" s="8">
        <v>39721</v>
      </c>
      <c r="B224" s="9">
        <v>2008.749</v>
      </c>
      <c r="C224">
        <f t="shared" si="41"/>
        <v>6482</v>
      </c>
      <c r="D224" s="10">
        <v>69.84</v>
      </c>
      <c r="E224" s="20">
        <f t="shared" si="42"/>
        <v>6.3662031009776212E-3</v>
      </c>
      <c r="F224" s="18">
        <f t="shared" si="43"/>
        <v>11.211539061430651</v>
      </c>
      <c r="G224" s="14">
        <f t="shared" si="44"/>
        <v>394.69362951559384</v>
      </c>
      <c r="H224" s="14">
        <f t="shared" si="48"/>
        <v>0.44810733054316643</v>
      </c>
      <c r="I224" s="19">
        <f t="shared" si="45"/>
        <v>1.1353295240491392E-3</v>
      </c>
      <c r="J224" s="14">
        <f t="shared" si="49"/>
        <v>74.382229515593849</v>
      </c>
      <c r="K224" s="14">
        <f t="shared" si="50"/>
        <v>18.929453817273725</v>
      </c>
      <c r="L224" s="14">
        <f t="shared" si="50"/>
        <v>0.20842539511898756</v>
      </c>
      <c r="M224" s="20">
        <f t="shared" si="47"/>
        <v>4.9048315868306137E-2</v>
      </c>
    </row>
    <row r="225" spans="1:13" x14ac:dyDescent="0.25">
      <c r="A225" s="8">
        <v>39728</v>
      </c>
      <c r="B225" s="9">
        <v>2008.768</v>
      </c>
      <c r="C225">
        <f t="shared" si="41"/>
        <v>6489</v>
      </c>
      <c r="D225" s="10">
        <v>70.59</v>
      </c>
      <c r="E225" s="20">
        <f t="shared" si="42"/>
        <v>1.193663081433287E-2</v>
      </c>
      <c r="F225" s="18">
        <f t="shared" si="43"/>
        <v>11.223475692244984</v>
      </c>
      <c r="G225" s="14">
        <f t="shared" si="44"/>
        <v>395.53451676925999</v>
      </c>
      <c r="H225" s="14">
        <f t="shared" si="48"/>
        <v>0.84088725366615336</v>
      </c>
      <c r="I225" s="19">
        <f t="shared" si="45"/>
        <v>2.125951637633424E-3</v>
      </c>
      <c r="J225" s="14">
        <f t="shared" si="49"/>
        <v>75.223116769260002</v>
      </c>
      <c r="K225" s="14">
        <f t="shared" si="50"/>
        <v>19.770341070939878</v>
      </c>
      <c r="L225" s="14">
        <f t="shared" si="50"/>
        <v>0.21055134675662099</v>
      </c>
      <c r="M225" s="20">
        <f t="shared" si="47"/>
        <v>5.1174267505939564E-2</v>
      </c>
    </row>
    <row r="226" spans="1:13" x14ac:dyDescent="0.25">
      <c r="A226" s="8">
        <v>39737</v>
      </c>
      <c r="B226" s="9">
        <v>2008.7919999999999</v>
      </c>
      <c r="C226">
        <f t="shared" si="41"/>
        <v>6498</v>
      </c>
      <c r="D226" s="10">
        <v>71.94</v>
      </c>
      <c r="E226" s="20">
        <f t="shared" si="42"/>
        <v>2.1485935465799074E-2</v>
      </c>
      <c r="F226" s="18">
        <f t="shared" si="43"/>
        <v>11.244961627710783</v>
      </c>
      <c r="G226" s="14">
        <f t="shared" si="44"/>
        <v>397.05036870728014</v>
      </c>
      <c r="H226" s="14">
        <f t="shared" si="48"/>
        <v>1.5158519380201483</v>
      </c>
      <c r="I226" s="19">
        <f t="shared" si="45"/>
        <v>3.8177824716684474E-3</v>
      </c>
      <c r="J226" s="14">
        <f t="shared" si="49"/>
        <v>76.738968707280151</v>
      </c>
      <c r="K226" s="14">
        <f t="shared" si="50"/>
        <v>21.286193008960026</v>
      </c>
      <c r="L226" s="14">
        <f t="shared" si="50"/>
        <v>0.21436912922828943</v>
      </c>
      <c r="M226" s="20">
        <f t="shared" si="47"/>
        <v>5.499204997760801E-2</v>
      </c>
    </row>
    <row r="227" spans="1:13" x14ac:dyDescent="0.25">
      <c r="A227" s="8">
        <v>39742</v>
      </c>
      <c r="B227" s="9">
        <v>2008.806</v>
      </c>
      <c r="C227">
        <f t="shared" si="41"/>
        <v>6503</v>
      </c>
      <c r="D227" s="10">
        <v>71.84</v>
      </c>
      <c r="E227" s="20">
        <f t="shared" si="42"/>
        <v>-1.5915507752442921E-3</v>
      </c>
      <c r="F227" s="18">
        <f t="shared" si="43"/>
        <v>11.243370076935539</v>
      </c>
      <c r="G227" s="14">
        <f t="shared" si="44"/>
        <v>396.93798395695859</v>
      </c>
      <c r="H227" s="14">
        <f t="shared" si="48"/>
        <v>-0.11238475032155293</v>
      </c>
      <c r="I227" s="19">
        <f t="shared" si="45"/>
        <v>-2.8312924150322488E-4</v>
      </c>
      <c r="J227" s="14">
        <f t="shared" si="49"/>
        <v>76.626583956958598</v>
      </c>
      <c r="K227" s="14">
        <f t="shared" ref="K227:L242" si="51">H227+K226</f>
        <v>21.173808258638473</v>
      </c>
      <c r="L227" s="14">
        <f t="shared" si="51"/>
        <v>0.21408599998678621</v>
      </c>
      <c r="M227" s="20">
        <f t="shared" si="47"/>
        <v>5.4708920736104782E-2</v>
      </c>
    </row>
    <row r="228" spans="1:13" x14ac:dyDescent="0.25">
      <c r="A228" s="8">
        <v>39749</v>
      </c>
      <c r="B228" s="9">
        <v>2008.825</v>
      </c>
      <c r="C228">
        <f t="shared" si="41"/>
        <v>6510</v>
      </c>
      <c r="D228" s="10">
        <v>71.739999999999995</v>
      </c>
      <c r="E228" s="20">
        <f t="shared" si="42"/>
        <v>-1.5915507752445183E-3</v>
      </c>
      <c r="F228" s="18">
        <f t="shared" si="43"/>
        <v>11.241778526160294</v>
      </c>
      <c r="G228" s="14">
        <f t="shared" si="44"/>
        <v>396.8256151140896</v>
      </c>
      <c r="H228" s="14">
        <f t="shared" si="48"/>
        <v>-0.11236884286898885</v>
      </c>
      <c r="I228" s="19">
        <f t="shared" si="45"/>
        <v>-2.8316932826194242E-4</v>
      </c>
      <c r="J228" s="14">
        <f t="shared" si="49"/>
        <v>76.514215114089609</v>
      </c>
      <c r="K228" s="14">
        <f t="shared" si="51"/>
        <v>21.061439415769485</v>
      </c>
      <c r="L228" s="14">
        <f t="shared" si="51"/>
        <v>0.21380283065852426</v>
      </c>
      <c r="M228" s="20">
        <f t="shared" si="47"/>
        <v>5.4425751407842837E-2</v>
      </c>
    </row>
    <row r="229" spans="1:13" x14ac:dyDescent="0.25">
      <c r="A229" s="8">
        <v>39756</v>
      </c>
      <c r="B229" s="9">
        <v>2008.8440000000001</v>
      </c>
      <c r="C229">
        <f t="shared" si="41"/>
        <v>6517</v>
      </c>
      <c r="D229" s="10">
        <v>71.94</v>
      </c>
      <c r="E229" s="20">
        <f t="shared" si="42"/>
        <v>3.1831015504888106E-3</v>
      </c>
      <c r="F229" s="18">
        <f t="shared" si="43"/>
        <v>11.244961627710783</v>
      </c>
      <c r="G229" s="14">
        <f t="shared" si="44"/>
        <v>397.05036870728014</v>
      </c>
      <c r="H229" s="14">
        <f t="shared" si="48"/>
        <v>0.22475359319054178</v>
      </c>
      <c r="I229" s="19">
        <f t="shared" si="45"/>
        <v>5.6605813998434598E-4</v>
      </c>
      <c r="J229" s="14">
        <f t="shared" si="49"/>
        <v>76.738968707280151</v>
      </c>
      <c r="K229" s="14">
        <f t="shared" si="51"/>
        <v>21.286193008960026</v>
      </c>
      <c r="L229" s="14">
        <f t="shared" si="51"/>
        <v>0.2143688887985086</v>
      </c>
      <c r="M229" s="20">
        <f t="shared" si="47"/>
        <v>5.4991809547827182E-2</v>
      </c>
    </row>
    <row r="230" spans="1:13" x14ac:dyDescent="0.25">
      <c r="A230" s="8">
        <v>39770</v>
      </c>
      <c r="B230" s="9">
        <v>2008.883</v>
      </c>
      <c r="C230">
        <f t="shared" si="41"/>
        <v>6531</v>
      </c>
      <c r="D230" s="10">
        <v>71.84</v>
      </c>
      <c r="E230" s="20">
        <f t="shared" si="42"/>
        <v>-1.5915507752442921E-3</v>
      </c>
      <c r="F230" s="18">
        <f t="shared" si="43"/>
        <v>11.243370076935539</v>
      </c>
      <c r="G230" s="14">
        <f t="shared" si="44"/>
        <v>396.93798395695859</v>
      </c>
      <c r="H230" s="14">
        <f t="shared" si="48"/>
        <v>-0.11238475032155293</v>
      </c>
      <c r="I230" s="19">
        <f t="shared" si="45"/>
        <v>-2.8312924150322488E-4</v>
      </c>
      <c r="J230" s="14">
        <f t="shared" si="49"/>
        <v>76.626583956958598</v>
      </c>
      <c r="K230" s="14">
        <f t="shared" si="51"/>
        <v>21.173808258638473</v>
      </c>
      <c r="L230" s="14">
        <f t="shared" si="51"/>
        <v>0.21408575955700537</v>
      </c>
      <c r="M230" s="20">
        <f t="shared" si="47"/>
        <v>5.4708680306323955E-2</v>
      </c>
    </row>
    <row r="231" spans="1:13" x14ac:dyDescent="0.25">
      <c r="A231" s="8">
        <v>39784</v>
      </c>
      <c r="B231" s="9">
        <v>2008.921</v>
      </c>
      <c r="C231">
        <f t="shared" si="41"/>
        <v>6545</v>
      </c>
      <c r="D231" s="10">
        <v>71.69</v>
      </c>
      <c r="E231" s="20">
        <f t="shared" si="42"/>
        <v>-2.3873261628666645E-3</v>
      </c>
      <c r="F231" s="18">
        <f t="shared" si="43"/>
        <v>11.240982750772673</v>
      </c>
      <c r="G231" s="14">
        <f t="shared" si="44"/>
        <v>396.76943665794994</v>
      </c>
      <c r="H231" s="14">
        <f t="shared" si="48"/>
        <v>-0.16854729900865095</v>
      </c>
      <c r="I231" s="19">
        <f t="shared" si="45"/>
        <v>-4.2479909851008383E-4</v>
      </c>
      <c r="J231" s="14">
        <f t="shared" si="49"/>
        <v>76.458036657949947</v>
      </c>
      <c r="K231" s="14">
        <f t="shared" si="51"/>
        <v>21.005260959629823</v>
      </c>
      <c r="L231" s="14">
        <f t="shared" si="51"/>
        <v>0.21366096045849528</v>
      </c>
      <c r="M231" s="20">
        <f t="shared" si="47"/>
        <v>5.4283881207813869E-2</v>
      </c>
    </row>
    <row r="232" spans="1:13" x14ac:dyDescent="0.25">
      <c r="A232" s="8">
        <v>39819</v>
      </c>
      <c r="B232" s="9">
        <v>2009.0160000000001</v>
      </c>
      <c r="C232">
        <f t="shared" si="41"/>
        <v>6580</v>
      </c>
      <c r="D232" s="10">
        <v>71.64</v>
      </c>
      <c r="E232" s="20">
        <f t="shared" si="42"/>
        <v>-7.9577538762214605E-4</v>
      </c>
      <c r="F232" s="18">
        <f t="shared" si="43"/>
        <v>11.240186975385051</v>
      </c>
      <c r="G232" s="14">
        <f t="shared" si="44"/>
        <v>396.7132621786734</v>
      </c>
      <c r="H232" s="14">
        <f t="shared" si="48"/>
        <v>-5.6174479276535294E-2</v>
      </c>
      <c r="I232" s="19">
        <f t="shared" si="45"/>
        <v>-1.4159970092261548E-4</v>
      </c>
      <c r="J232" s="14">
        <f t="shared" si="49"/>
        <v>76.401862178673412</v>
      </c>
      <c r="K232" s="14">
        <f>H232</f>
        <v>-5.6174479276535294E-2</v>
      </c>
      <c r="L232" s="14">
        <f t="shared" si="51"/>
        <v>0.21351936075757266</v>
      </c>
      <c r="M232" s="20">
        <f>I232</f>
        <v>-1.4159970092261548E-4</v>
      </c>
    </row>
    <row r="233" spans="1:13" x14ac:dyDescent="0.25">
      <c r="A233" s="8">
        <v>39840</v>
      </c>
      <c r="B233" s="9">
        <v>2009.0740000000001</v>
      </c>
      <c r="C233">
        <f t="shared" si="41"/>
        <v>6601</v>
      </c>
      <c r="D233" s="10">
        <v>71.59</v>
      </c>
      <c r="E233" s="20">
        <f t="shared" si="42"/>
        <v>-7.9577538762214605E-4</v>
      </c>
      <c r="F233" s="18">
        <f t="shared" si="43"/>
        <v>11.239391199997428</v>
      </c>
      <c r="G233" s="14">
        <f t="shared" si="44"/>
        <v>396.65709167625999</v>
      </c>
      <c r="H233" s="14">
        <f t="shared" si="48"/>
        <v>-5.6170502413408485E-2</v>
      </c>
      <c r="I233" s="19">
        <f t="shared" si="45"/>
        <v>-1.4160972687021368E-4</v>
      </c>
      <c r="J233" s="14">
        <f t="shared" si="49"/>
        <v>76.345691676260003</v>
      </c>
      <c r="K233" s="14">
        <f t="shared" ref="K233:L248" si="52">H233+K232</f>
        <v>-0.11234498168994378</v>
      </c>
      <c r="L233" s="14">
        <f t="shared" si="51"/>
        <v>0.21337775103070244</v>
      </c>
      <c r="M233" s="20">
        <f t="shared" ref="M233:M269" si="53">I233+M232</f>
        <v>-2.8320942779282913E-4</v>
      </c>
    </row>
    <row r="234" spans="1:13" x14ac:dyDescent="0.25">
      <c r="A234" s="8">
        <v>39862</v>
      </c>
      <c r="B234" s="9">
        <v>2009.134</v>
      </c>
      <c r="C234">
        <f t="shared" si="41"/>
        <v>6623</v>
      </c>
      <c r="D234" s="10">
        <v>71.240000000000052</v>
      </c>
      <c r="E234" s="20">
        <f t="shared" si="42"/>
        <v>-5.57042771335457E-3</v>
      </c>
      <c r="F234" s="18">
        <f t="shared" si="43"/>
        <v>11.233820772284073</v>
      </c>
      <c r="G234" s="14">
        <f t="shared" si="44"/>
        <v>396.26400951153551</v>
      </c>
      <c r="H234" s="14">
        <f t="shared" si="48"/>
        <v>-0.39308216472448976</v>
      </c>
      <c r="I234" s="19">
        <f t="shared" si="45"/>
        <v>-9.9197039168162681E-4</v>
      </c>
      <c r="J234" s="14">
        <f t="shared" si="49"/>
        <v>75.952609511535513</v>
      </c>
      <c r="K234" s="14">
        <f t="shared" si="52"/>
        <v>-0.50542714641443354</v>
      </c>
      <c r="L234" s="14">
        <f t="shared" si="51"/>
        <v>0.2123857806390208</v>
      </c>
      <c r="M234" s="20">
        <f t="shared" si="53"/>
        <v>-1.2751798194744559E-3</v>
      </c>
    </row>
    <row r="235" spans="1:13" x14ac:dyDescent="0.25">
      <c r="A235" s="8">
        <v>39883</v>
      </c>
      <c r="B235" s="9">
        <v>2009.191</v>
      </c>
      <c r="C235">
        <f t="shared" si="41"/>
        <v>6644</v>
      </c>
      <c r="D235" s="10">
        <v>71.34</v>
      </c>
      <c r="E235" s="20">
        <f t="shared" si="42"/>
        <v>1.5915507752436138E-3</v>
      </c>
      <c r="F235" s="18">
        <f t="shared" si="43"/>
        <v>11.235412323059316</v>
      </c>
      <c r="G235" s="14">
        <f t="shared" si="44"/>
        <v>396.37629881714088</v>
      </c>
      <c r="H235" s="14">
        <f t="shared" si="48"/>
        <v>0.11228930560537265</v>
      </c>
      <c r="I235" s="19">
        <f t="shared" si="45"/>
        <v>2.8328965667337929E-4</v>
      </c>
      <c r="J235" s="14">
        <f t="shared" si="49"/>
        <v>76.064898817140886</v>
      </c>
      <c r="K235" s="14">
        <f t="shared" si="52"/>
        <v>-0.39313784080906089</v>
      </c>
      <c r="L235" s="14">
        <f t="shared" si="51"/>
        <v>0.21266907029569418</v>
      </c>
      <c r="M235" s="20">
        <f t="shared" si="53"/>
        <v>-9.918901628010767E-4</v>
      </c>
    </row>
    <row r="236" spans="1:13" x14ac:dyDescent="0.25">
      <c r="A236" s="8">
        <v>39896</v>
      </c>
      <c r="B236" s="9">
        <v>2009.2270000000001</v>
      </c>
      <c r="C236">
        <f t="shared" si="41"/>
        <v>6657</v>
      </c>
      <c r="D236" s="10">
        <v>71.59</v>
      </c>
      <c r="E236" s="20">
        <f t="shared" si="42"/>
        <v>3.9788769381109571E-3</v>
      </c>
      <c r="F236" s="18">
        <f t="shared" si="43"/>
        <v>11.239391199997428</v>
      </c>
      <c r="G236" s="14">
        <f t="shared" si="44"/>
        <v>396.65709167625999</v>
      </c>
      <c r="H236" s="14">
        <f t="shared" si="48"/>
        <v>0.28079285911911711</v>
      </c>
      <c r="I236" s="19">
        <f t="shared" si="45"/>
        <v>7.0789824513787364E-4</v>
      </c>
      <c r="J236" s="14">
        <f t="shared" si="49"/>
        <v>76.345691676260003</v>
      </c>
      <c r="K236" s="14">
        <f t="shared" si="52"/>
        <v>-0.11234498168994378</v>
      </c>
      <c r="L236" s="14">
        <f t="shared" si="51"/>
        <v>0.21337696854083205</v>
      </c>
      <c r="M236" s="20">
        <f t="shared" si="53"/>
        <v>-2.8399191766320306E-4</v>
      </c>
    </row>
    <row r="237" spans="1:13" x14ac:dyDescent="0.25">
      <c r="A237" s="8">
        <v>39912</v>
      </c>
      <c r="B237" s="9">
        <v>2009.27</v>
      </c>
      <c r="C237">
        <f t="shared" si="41"/>
        <v>6673</v>
      </c>
      <c r="D237" s="10">
        <v>71.740000000000052</v>
      </c>
      <c r="E237" s="20">
        <f t="shared" si="42"/>
        <v>2.3873261628673433E-3</v>
      </c>
      <c r="F237" s="18">
        <f t="shared" si="43"/>
        <v>11.241778526160296</v>
      </c>
      <c r="G237" s="14">
        <f t="shared" si="44"/>
        <v>396.82561511408971</v>
      </c>
      <c r="H237" s="14">
        <f t="shared" si="48"/>
        <v>0.16852343782971957</v>
      </c>
      <c r="I237" s="19">
        <f t="shared" si="45"/>
        <v>4.2467882972037498E-4</v>
      </c>
      <c r="J237" s="14">
        <f t="shared" si="49"/>
        <v>76.514215114089723</v>
      </c>
      <c r="K237" s="14">
        <f t="shared" si="52"/>
        <v>5.617845613977579E-2</v>
      </c>
      <c r="L237" s="14">
        <f t="shared" si="51"/>
        <v>0.21380164737055243</v>
      </c>
      <c r="M237" s="20">
        <f t="shared" si="53"/>
        <v>1.4068691205717192E-4</v>
      </c>
    </row>
    <row r="238" spans="1:13" x14ac:dyDescent="0.25">
      <c r="A238" s="8">
        <v>39919</v>
      </c>
      <c r="B238" s="9">
        <v>2009.29</v>
      </c>
      <c r="C238">
        <f t="shared" si="41"/>
        <v>6680</v>
      </c>
      <c r="D238" s="10">
        <v>73.440000000000055</v>
      </c>
      <c r="E238" s="20">
        <f t="shared" si="42"/>
        <v>2.7056363179154552E-2</v>
      </c>
      <c r="F238" s="18">
        <f t="shared" si="43"/>
        <v>11.26883488933945</v>
      </c>
      <c r="G238" s="14">
        <f t="shared" si="44"/>
        <v>398.73804885642937</v>
      </c>
      <c r="H238" s="14">
        <f t="shared" si="48"/>
        <v>1.9124337423396582</v>
      </c>
      <c r="I238" s="19">
        <f t="shared" si="45"/>
        <v>4.7962158309809407E-3</v>
      </c>
      <c r="J238" s="14">
        <f t="shared" si="49"/>
        <v>78.426648856429381</v>
      </c>
      <c r="K238" s="14">
        <f t="shared" si="52"/>
        <v>1.968612198479434</v>
      </c>
      <c r="L238" s="14">
        <f t="shared" si="51"/>
        <v>0.21859786320153338</v>
      </c>
      <c r="M238" s="20">
        <f t="shared" si="53"/>
        <v>4.9369027430381128E-3</v>
      </c>
    </row>
    <row r="239" spans="1:13" x14ac:dyDescent="0.25">
      <c r="A239" s="8">
        <v>39924</v>
      </c>
      <c r="B239" s="9">
        <v>2009.3030000000001</v>
      </c>
      <c r="C239">
        <f t="shared" si="41"/>
        <v>6685</v>
      </c>
      <c r="D239" s="10">
        <v>74.740000000000052</v>
      </c>
      <c r="E239" s="20">
        <f t="shared" si="42"/>
        <v>2.0690160078176933E-2</v>
      </c>
      <c r="F239" s="18">
        <f t="shared" si="43"/>
        <v>11.289525049417627</v>
      </c>
      <c r="G239" s="14">
        <f t="shared" si="44"/>
        <v>400.20360014208416</v>
      </c>
      <c r="H239" s="14">
        <f t="shared" si="48"/>
        <v>1.465551285654783</v>
      </c>
      <c r="I239" s="19">
        <f t="shared" si="45"/>
        <v>3.6620142475841514E-3</v>
      </c>
      <c r="J239" s="14">
        <f t="shared" si="49"/>
        <v>79.892200142084164</v>
      </c>
      <c r="K239" s="14">
        <f t="shared" si="52"/>
        <v>3.434163484134217</v>
      </c>
      <c r="L239" s="14">
        <f t="shared" si="51"/>
        <v>0.22225987744911752</v>
      </c>
      <c r="M239" s="20">
        <f t="shared" si="53"/>
        <v>8.5989169906222646E-3</v>
      </c>
    </row>
    <row r="240" spans="1:13" x14ac:dyDescent="0.25">
      <c r="A240" s="8">
        <v>39931</v>
      </c>
      <c r="B240" s="9">
        <v>2009.3219999999999</v>
      </c>
      <c r="C240">
        <f t="shared" si="41"/>
        <v>6692</v>
      </c>
      <c r="D240" s="10">
        <v>75.540000000000006</v>
      </c>
      <c r="E240" s="20">
        <f t="shared" si="42"/>
        <v>1.2732406201954337E-2</v>
      </c>
      <c r="F240" s="18">
        <f t="shared" si="43"/>
        <v>11.30225745561958</v>
      </c>
      <c r="G240" s="14">
        <f t="shared" si="44"/>
        <v>401.10681408236036</v>
      </c>
      <c r="H240" s="14">
        <f t="shared" si="48"/>
        <v>0.90321394027620272</v>
      </c>
      <c r="I240" s="19">
        <f t="shared" si="45"/>
        <v>2.2518040296636379E-3</v>
      </c>
      <c r="J240" s="14">
        <f t="shared" si="49"/>
        <v>80.795414082360367</v>
      </c>
      <c r="K240" s="14">
        <f t="shared" si="52"/>
        <v>4.3373774244104197</v>
      </c>
      <c r="L240" s="14">
        <f t="shared" si="51"/>
        <v>0.22451168147878114</v>
      </c>
      <c r="M240" s="20">
        <f t="shared" si="53"/>
        <v>1.0850721020285902E-2</v>
      </c>
    </row>
    <row r="241" spans="1:13" x14ac:dyDescent="0.25">
      <c r="A241" s="8">
        <v>39938</v>
      </c>
      <c r="B241" s="9">
        <v>2009.3420000000001</v>
      </c>
      <c r="C241">
        <f t="shared" si="41"/>
        <v>6699</v>
      </c>
      <c r="D241" s="10">
        <v>77.540000000000006</v>
      </c>
      <c r="E241" s="20">
        <f t="shared" si="42"/>
        <v>3.1831015504887657E-2</v>
      </c>
      <c r="F241" s="18">
        <f t="shared" si="43"/>
        <v>11.334088471124469</v>
      </c>
      <c r="G241" s="14">
        <f t="shared" si="44"/>
        <v>403.36930301980857</v>
      </c>
      <c r="H241" s="14">
        <f t="shared" si="48"/>
        <v>2.2624889374482109</v>
      </c>
      <c r="I241" s="19">
        <f t="shared" si="45"/>
        <v>5.6089764900555785E-3</v>
      </c>
      <c r="J241" s="14">
        <f t="shared" si="49"/>
        <v>83.057903019808577</v>
      </c>
      <c r="K241" s="14">
        <f t="shared" si="52"/>
        <v>6.5998663618586306</v>
      </c>
      <c r="L241" s="14">
        <f t="shared" si="51"/>
        <v>0.23012065796883671</v>
      </c>
      <c r="M241" s="20">
        <f t="shared" si="53"/>
        <v>1.645969751034148E-2</v>
      </c>
    </row>
    <row r="242" spans="1:13" x14ac:dyDescent="0.25">
      <c r="A242" s="8">
        <v>39945</v>
      </c>
      <c r="B242" s="9">
        <v>2009.3610000000001</v>
      </c>
      <c r="C242">
        <f t="shared" si="41"/>
        <v>6706</v>
      </c>
      <c r="D242" s="10">
        <v>79.14</v>
      </c>
      <c r="E242" s="20">
        <f t="shared" si="42"/>
        <v>2.546481240391003E-2</v>
      </c>
      <c r="F242" s="18">
        <f t="shared" si="43"/>
        <v>11.359553283528379</v>
      </c>
      <c r="G242" s="14">
        <f t="shared" si="44"/>
        <v>405.18387551614603</v>
      </c>
      <c r="H242" s="14">
        <f t="shared" si="48"/>
        <v>1.8145724963374619</v>
      </c>
      <c r="I242" s="19">
        <f t="shared" si="45"/>
        <v>4.4783926656162152E-3</v>
      </c>
      <c r="J242" s="14">
        <f t="shared" si="49"/>
        <v>84.872475516146039</v>
      </c>
      <c r="K242" s="14">
        <f t="shared" si="52"/>
        <v>8.4144388581960925</v>
      </c>
      <c r="L242" s="14">
        <f t="shared" si="51"/>
        <v>0.23459905063445294</v>
      </c>
      <c r="M242" s="20">
        <f t="shared" si="53"/>
        <v>2.0938090175957696E-2</v>
      </c>
    </row>
    <row r="243" spans="1:13" x14ac:dyDescent="0.25">
      <c r="A243" s="8">
        <v>39953</v>
      </c>
      <c r="B243" s="9">
        <v>2009.383</v>
      </c>
      <c r="C243">
        <f t="shared" si="41"/>
        <v>6714</v>
      </c>
      <c r="D243" s="10">
        <v>80.540000000000006</v>
      </c>
      <c r="E243" s="20">
        <f t="shared" si="42"/>
        <v>2.2281710853421448E-2</v>
      </c>
      <c r="F243" s="18">
        <f t="shared" si="43"/>
        <v>11.381834994381801</v>
      </c>
      <c r="G243" s="14">
        <f t="shared" si="44"/>
        <v>406.77496701550933</v>
      </c>
      <c r="H243" s="14">
        <f t="shared" si="48"/>
        <v>1.5910914993633014</v>
      </c>
      <c r="I243" s="19">
        <f t="shared" si="45"/>
        <v>3.9114784054610644E-3</v>
      </c>
      <c r="J243" s="14">
        <f t="shared" si="49"/>
        <v>86.463567015509341</v>
      </c>
      <c r="K243" s="14">
        <f t="shared" si="52"/>
        <v>10.005530357559394</v>
      </c>
      <c r="L243" s="14">
        <f t="shared" si="52"/>
        <v>0.23851052903991402</v>
      </c>
      <c r="M243" s="20">
        <f t="shared" si="53"/>
        <v>2.4849568581418759E-2</v>
      </c>
    </row>
    <row r="244" spans="1:13" x14ac:dyDescent="0.25">
      <c r="A244" s="8">
        <v>39959</v>
      </c>
      <c r="B244" s="9">
        <v>2009.3989999999999</v>
      </c>
      <c r="C244">
        <f t="shared" si="41"/>
        <v>6720</v>
      </c>
      <c r="D244" s="10">
        <v>81.740000000000052</v>
      </c>
      <c r="E244" s="20">
        <f t="shared" si="42"/>
        <v>1.9098609302933316E-2</v>
      </c>
      <c r="F244" s="18">
        <f t="shared" si="43"/>
        <v>11.400933603684734</v>
      </c>
      <c r="G244" s="14">
        <f t="shared" si="44"/>
        <v>408.14124129187127</v>
      </c>
      <c r="H244" s="14">
        <f t="shared" si="48"/>
        <v>1.3662742763619349</v>
      </c>
      <c r="I244" s="19">
        <f t="shared" si="45"/>
        <v>3.3475526071252391E-3</v>
      </c>
      <c r="J244" s="14">
        <f t="shared" si="49"/>
        <v>87.829841291871276</v>
      </c>
      <c r="K244" s="14">
        <f t="shared" si="52"/>
        <v>11.371804633921329</v>
      </c>
      <c r="L244" s="14">
        <f t="shared" si="52"/>
        <v>0.24185808164703926</v>
      </c>
      <c r="M244" s="20">
        <f t="shared" si="53"/>
        <v>2.8197121188543998E-2</v>
      </c>
    </row>
    <row r="245" spans="1:13" x14ac:dyDescent="0.25">
      <c r="A245" s="8">
        <v>39966</v>
      </c>
      <c r="B245" s="9">
        <v>2009.4179999999999</v>
      </c>
      <c r="C245">
        <f t="shared" si="41"/>
        <v>6727</v>
      </c>
      <c r="D245" s="10">
        <v>82.290000000000049</v>
      </c>
      <c r="E245" s="20">
        <f t="shared" si="42"/>
        <v>8.7535292638440589E-3</v>
      </c>
      <c r="F245" s="18">
        <f t="shared" si="43"/>
        <v>11.409687132948578</v>
      </c>
      <c r="G245" s="14">
        <f t="shared" si="44"/>
        <v>408.76821588136522</v>
      </c>
      <c r="H245" s="14">
        <f t="shared" si="48"/>
        <v>0.62697458949395468</v>
      </c>
      <c r="I245" s="19">
        <f t="shared" si="45"/>
        <v>1.5338144335466592E-3</v>
      </c>
      <c r="J245" s="14">
        <f t="shared" si="49"/>
        <v>88.45681588136523</v>
      </c>
      <c r="K245" s="14">
        <f t="shared" si="52"/>
        <v>11.998779223415283</v>
      </c>
      <c r="L245" s="14">
        <f t="shared" si="52"/>
        <v>0.24339189608058592</v>
      </c>
      <c r="M245" s="20">
        <f t="shared" si="53"/>
        <v>2.9730935622090657E-2</v>
      </c>
    </row>
    <row r="246" spans="1:13" x14ac:dyDescent="0.25">
      <c r="A246" s="8">
        <f>'[1]site A (mm)'!A719</f>
        <v>39973</v>
      </c>
      <c r="B246" s="36">
        <f>'[1]site A (mm)'!B719</f>
        <v>2009.4369999999999</v>
      </c>
      <c r="C246">
        <f t="shared" si="41"/>
        <v>6734</v>
      </c>
      <c r="D246">
        <f>'[1]site A (mm)'!M719</f>
        <v>84.440000000000055</v>
      </c>
      <c r="E246" s="20">
        <f t="shared" si="42"/>
        <v>3.4218341667754316E-2</v>
      </c>
      <c r="F246" s="18">
        <f t="shared" si="43"/>
        <v>11.443905474616333</v>
      </c>
      <c r="G246" s="14">
        <f t="shared" si="44"/>
        <v>411.22373368753455</v>
      </c>
      <c r="H246" s="14">
        <f t="shared" si="48"/>
        <v>2.4555178061693255</v>
      </c>
      <c r="I246" s="19">
        <f t="shared" si="45"/>
        <v>5.9712453465420199E-3</v>
      </c>
      <c r="J246" s="14">
        <f t="shared" si="49"/>
        <v>90.912333687534556</v>
      </c>
      <c r="K246" s="14">
        <f t="shared" si="52"/>
        <v>14.454297029584609</v>
      </c>
      <c r="L246" s="14">
        <f t="shared" si="52"/>
        <v>0.24936314142712795</v>
      </c>
      <c r="M246" s="20">
        <f t="shared" si="53"/>
        <v>3.5702180968632674E-2</v>
      </c>
    </row>
    <row r="247" spans="1:13" x14ac:dyDescent="0.25">
      <c r="A247" s="8">
        <f>'[1]site A (mm)'!A720</f>
        <v>39981</v>
      </c>
      <c r="B247" s="36">
        <f>'[1]site A (mm)'!B720</f>
        <v>2009.4590000000001</v>
      </c>
      <c r="C247">
        <f t="shared" si="41"/>
        <v>6742</v>
      </c>
      <c r="D247">
        <f>'[1]site A (mm)'!M720</f>
        <v>85.59000000000006</v>
      </c>
      <c r="E247" s="20">
        <f t="shared" si="42"/>
        <v>1.8302833915310492E-2</v>
      </c>
      <c r="F247" s="18">
        <f t="shared" si="43"/>
        <v>11.462208308531643</v>
      </c>
      <c r="G247" s="14">
        <f t="shared" si="44"/>
        <v>412.54016862765963</v>
      </c>
      <c r="H247" s="14">
        <f t="shared" si="48"/>
        <v>1.3164349401250774</v>
      </c>
      <c r="I247" s="19">
        <f t="shared" si="45"/>
        <v>3.1910466912937947E-3</v>
      </c>
      <c r="J247" s="14">
        <f t="shared" si="49"/>
        <v>92.228768627659633</v>
      </c>
      <c r="K247" s="14">
        <f t="shared" si="52"/>
        <v>15.770731969709686</v>
      </c>
      <c r="L247" s="14">
        <f t="shared" si="52"/>
        <v>0.25255418811842173</v>
      </c>
      <c r="M247" s="20">
        <f t="shared" si="53"/>
        <v>3.889322765992647E-2</v>
      </c>
    </row>
    <row r="248" spans="1:13" x14ac:dyDescent="0.25">
      <c r="A248" s="8">
        <f>'[1]site A (mm)'!A721</f>
        <v>39987</v>
      </c>
      <c r="B248" s="36">
        <f>'[1]site A (mm)'!B721</f>
        <v>2009.4749999999999</v>
      </c>
      <c r="C248">
        <f t="shared" si="41"/>
        <v>6748</v>
      </c>
      <c r="D248">
        <f>'[1]site A (mm)'!M721</f>
        <v>87.290000000000063</v>
      </c>
      <c r="E248" s="20">
        <f t="shared" si="42"/>
        <v>2.7056363179154552E-2</v>
      </c>
      <c r="F248" s="18">
        <f t="shared" si="43"/>
        <v>11.489264671710798</v>
      </c>
      <c r="G248" s="14">
        <f t="shared" si="44"/>
        <v>414.49005646739255</v>
      </c>
      <c r="H248" s="14">
        <f t="shared" si="48"/>
        <v>1.9498878397329236</v>
      </c>
      <c r="I248" s="19">
        <f t="shared" si="45"/>
        <v>4.704305469596516E-3</v>
      </c>
      <c r="J248" s="14">
        <f t="shared" si="49"/>
        <v>94.178656467392557</v>
      </c>
      <c r="K248" s="14">
        <f t="shared" si="52"/>
        <v>17.72061980944261</v>
      </c>
      <c r="L248" s="14">
        <f t="shared" si="52"/>
        <v>0.25725849358801822</v>
      </c>
      <c r="M248" s="20">
        <f t="shared" si="53"/>
        <v>4.3597533129522983E-2</v>
      </c>
    </row>
    <row r="249" spans="1:13" x14ac:dyDescent="0.25">
      <c r="A249" s="8">
        <f>'[1]site A (mm)'!A722</f>
        <v>39994</v>
      </c>
      <c r="B249" s="36">
        <f>'[1]site A (mm)'!B722</f>
        <v>2009.4949999999999</v>
      </c>
      <c r="C249">
        <f t="shared" si="41"/>
        <v>6755</v>
      </c>
      <c r="D249">
        <f>'[1]site A (mm)'!M722</f>
        <v>87.990000000000066</v>
      </c>
      <c r="E249" s="20">
        <f t="shared" si="42"/>
        <v>1.1140855426710724E-2</v>
      </c>
      <c r="F249" s="18">
        <f t="shared" si="43"/>
        <v>11.500405527137508</v>
      </c>
      <c r="G249" s="14">
        <f t="shared" si="44"/>
        <v>415.29428768625093</v>
      </c>
      <c r="H249" s="14">
        <f t="shared" si="48"/>
        <v>0.80423121885837645</v>
      </c>
      <c r="I249" s="19">
        <f t="shared" si="45"/>
        <v>1.9365333035015449E-3</v>
      </c>
      <c r="J249" s="14">
        <f t="shared" si="49"/>
        <v>94.982887686250933</v>
      </c>
      <c r="K249" s="14">
        <f t="shared" ref="K249:L264" si="54">H249+K248</f>
        <v>18.524851028300986</v>
      </c>
      <c r="L249" s="14">
        <f t="shared" si="54"/>
        <v>0.25919502689151974</v>
      </c>
      <c r="M249" s="20">
        <f t="shared" si="53"/>
        <v>4.5534066433024531E-2</v>
      </c>
    </row>
    <row r="250" spans="1:13" x14ac:dyDescent="0.25">
      <c r="A250" s="8">
        <f>'[1]site A (mm)'!A723</f>
        <v>40001</v>
      </c>
      <c r="B250" s="36">
        <f>'[1]site A (mm)'!B723</f>
        <v>2009.5139999999999</v>
      </c>
      <c r="C250">
        <f t="shared" si="41"/>
        <v>6762</v>
      </c>
      <c r="D250">
        <f>'[1]site A (mm)'!M723</f>
        <v>88.990000000000066</v>
      </c>
      <c r="E250" s="20">
        <f t="shared" si="42"/>
        <v>1.5915507752443828E-2</v>
      </c>
      <c r="F250" s="18">
        <f t="shared" si="43"/>
        <v>11.516321034889952</v>
      </c>
      <c r="G250" s="14">
        <f t="shared" si="44"/>
        <v>416.44454156095719</v>
      </c>
      <c r="H250" s="14">
        <f t="shared" si="48"/>
        <v>1.1502538747062658</v>
      </c>
      <c r="I250" s="19">
        <f t="shared" si="45"/>
        <v>2.7620817657851258E-3</v>
      </c>
      <c r="J250" s="14">
        <f t="shared" si="49"/>
        <v>96.133141560957199</v>
      </c>
      <c r="K250" s="14">
        <f t="shared" si="54"/>
        <v>19.675104903007252</v>
      </c>
      <c r="L250" s="14">
        <f t="shared" si="54"/>
        <v>0.26195710865730487</v>
      </c>
      <c r="M250" s="20">
        <f t="shared" si="53"/>
        <v>4.829614819880966E-2</v>
      </c>
    </row>
    <row r="251" spans="1:13" x14ac:dyDescent="0.25">
      <c r="A251" s="8">
        <f>'[1]site A (mm)'!A724</f>
        <v>40008</v>
      </c>
      <c r="B251" s="36">
        <f>'[1]site A (mm)'!B724</f>
        <v>2009.5329999999999</v>
      </c>
      <c r="C251">
        <f t="shared" si="41"/>
        <v>6769</v>
      </c>
      <c r="D251">
        <f>'[1]site A (mm)'!M724</f>
        <v>89.490000000000066</v>
      </c>
      <c r="E251" s="20">
        <f t="shared" si="42"/>
        <v>7.9577538762219142E-3</v>
      </c>
      <c r="F251" s="18">
        <f t="shared" si="43"/>
        <v>11.524278788766173</v>
      </c>
      <c r="G251" s="14">
        <f t="shared" si="44"/>
        <v>417.02026502778659</v>
      </c>
      <c r="H251" s="14">
        <f t="shared" si="48"/>
        <v>0.57572346682940179</v>
      </c>
      <c r="I251" s="19">
        <f t="shared" si="45"/>
        <v>1.3805647233739123E-3</v>
      </c>
      <c r="J251" s="14">
        <f t="shared" si="49"/>
        <v>96.708865027786601</v>
      </c>
      <c r="K251" s="14">
        <f t="shared" si="54"/>
        <v>20.250828369836654</v>
      </c>
      <c r="L251" s="14">
        <f t="shared" si="54"/>
        <v>0.26333767338067876</v>
      </c>
      <c r="M251" s="20">
        <f t="shared" si="53"/>
        <v>4.967671292218357E-2</v>
      </c>
    </row>
    <row r="252" spans="1:13" x14ac:dyDescent="0.25">
      <c r="A252" s="8">
        <f>'[1]site A (mm)'!A725</f>
        <v>40015</v>
      </c>
      <c r="B252" s="36">
        <f>'[1]site A (mm)'!B725</f>
        <v>2009.5519999999999</v>
      </c>
      <c r="C252">
        <f t="shared" si="41"/>
        <v>6776</v>
      </c>
      <c r="D252">
        <f>'[1]site A (mm)'!M725</f>
        <v>89.490000000000066</v>
      </c>
      <c r="E252" s="20">
        <f t="shared" si="42"/>
        <v>0</v>
      </c>
      <c r="F252" s="18">
        <f t="shared" si="43"/>
        <v>11.524278788766173</v>
      </c>
      <c r="G252" s="14">
        <f t="shared" si="44"/>
        <v>417.02026502778659</v>
      </c>
      <c r="H252" s="14">
        <f t="shared" si="48"/>
        <v>0</v>
      </c>
      <c r="I252" s="19">
        <f t="shared" si="45"/>
        <v>0</v>
      </c>
      <c r="J252" s="14">
        <f t="shared" si="49"/>
        <v>96.708865027786601</v>
      </c>
      <c r="K252" s="14">
        <f t="shared" si="54"/>
        <v>20.250828369836654</v>
      </c>
      <c r="L252" s="14">
        <f t="shared" si="54"/>
        <v>0.26333767338067876</v>
      </c>
      <c r="M252" s="20">
        <f t="shared" si="53"/>
        <v>4.967671292218357E-2</v>
      </c>
    </row>
    <row r="253" spans="1:13" x14ac:dyDescent="0.25">
      <c r="A253" s="8">
        <f>'[1]site A (mm)'!A726</f>
        <v>40023</v>
      </c>
      <c r="B253" s="36">
        <f>'[1]site A (mm)'!B726</f>
        <v>2009.5740000000001</v>
      </c>
      <c r="C253">
        <f t="shared" si="41"/>
        <v>6784</v>
      </c>
      <c r="D253">
        <f>'[1]site A (mm)'!M726</f>
        <v>89.890000000000072</v>
      </c>
      <c r="E253" s="20">
        <f t="shared" si="42"/>
        <v>6.3662031009776212E-3</v>
      </c>
      <c r="F253" s="18">
        <f t="shared" si="43"/>
        <v>11.530644991867151</v>
      </c>
      <c r="G253" s="14">
        <f t="shared" si="44"/>
        <v>417.48113013539904</v>
      </c>
      <c r="H253" s="14">
        <f t="shared" si="48"/>
        <v>0.46086510761244881</v>
      </c>
      <c r="I253" s="19">
        <f t="shared" si="45"/>
        <v>1.1039184153376687E-3</v>
      </c>
      <c r="J253" s="14">
        <f t="shared" si="49"/>
        <v>97.16973013539905</v>
      </c>
      <c r="K253" s="14">
        <f t="shared" si="54"/>
        <v>20.711693477449103</v>
      </c>
      <c r="L253" s="14">
        <f t="shared" si="54"/>
        <v>0.26444159179601645</v>
      </c>
      <c r="M253" s="20">
        <f t="shared" si="53"/>
        <v>5.078063133752124E-2</v>
      </c>
    </row>
    <row r="254" spans="1:13" x14ac:dyDescent="0.25">
      <c r="A254" s="8">
        <f>'[1]site A (mm)'!A727</f>
        <v>40029</v>
      </c>
      <c r="B254" s="36">
        <f>'[1]site A (mm)'!B727</f>
        <v>2009.59</v>
      </c>
      <c r="C254">
        <f t="shared" si="41"/>
        <v>6790</v>
      </c>
      <c r="D254">
        <f>'[1]site A (mm)'!M727</f>
        <v>91.390000000000072</v>
      </c>
      <c r="E254" s="20">
        <f t="shared" si="42"/>
        <v>2.3873261628665741E-2</v>
      </c>
      <c r="F254" s="18">
        <f t="shared" si="43"/>
        <v>11.554518253495816</v>
      </c>
      <c r="G254" s="14">
        <f t="shared" si="44"/>
        <v>419.21164110095555</v>
      </c>
      <c r="H254" s="14">
        <f t="shared" si="48"/>
        <v>1.7305109655565047</v>
      </c>
      <c r="I254" s="19">
        <f t="shared" si="45"/>
        <v>4.1280126692373005E-3</v>
      </c>
      <c r="J254" s="14">
        <f t="shared" si="49"/>
        <v>98.900241100955554</v>
      </c>
      <c r="K254" s="14">
        <f t="shared" si="54"/>
        <v>22.442204443005608</v>
      </c>
      <c r="L254" s="14">
        <f t="shared" si="54"/>
        <v>0.26856960446525374</v>
      </c>
      <c r="M254" s="20">
        <f t="shared" si="53"/>
        <v>5.4908644006758538E-2</v>
      </c>
    </row>
    <row r="255" spans="1:13" x14ac:dyDescent="0.25">
      <c r="A255" s="8">
        <f>'[1]site A (mm)'!A728</f>
        <v>40036</v>
      </c>
      <c r="B255" s="36">
        <f>'[1]site A (mm)'!B728</f>
        <v>2009.6089999999999</v>
      </c>
      <c r="C255">
        <f t="shared" si="41"/>
        <v>6797</v>
      </c>
      <c r="D255">
        <f>'[1]site A (mm)'!M728</f>
        <v>91.890000000000072</v>
      </c>
      <c r="E255" s="20">
        <f t="shared" si="42"/>
        <v>7.9577538762219142E-3</v>
      </c>
      <c r="F255" s="18">
        <f t="shared" si="43"/>
        <v>11.562476007372037</v>
      </c>
      <c r="G255" s="14">
        <f t="shared" si="44"/>
        <v>419.78927346210963</v>
      </c>
      <c r="H255" s="14">
        <f t="shared" si="48"/>
        <v>0.57763236115408745</v>
      </c>
      <c r="I255" s="19">
        <f t="shared" si="45"/>
        <v>1.3760055286553786E-3</v>
      </c>
      <c r="J255" s="14">
        <f t="shared" si="49"/>
        <v>99.477873462109642</v>
      </c>
      <c r="K255" s="14">
        <f t="shared" si="54"/>
        <v>23.019836804159695</v>
      </c>
      <c r="L255" s="14">
        <f t="shared" si="54"/>
        <v>0.2699456099939091</v>
      </c>
      <c r="M255" s="20">
        <f t="shared" si="53"/>
        <v>5.6284649535413914E-2</v>
      </c>
    </row>
    <row r="256" spans="1:13" x14ac:dyDescent="0.25">
      <c r="A256" s="8">
        <f>'[1]site A (mm)'!A729</f>
        <v>40043</v>
      </c>
      <c r="B256" s="36">
        <f>'[1]site A (mm)'!B729</f>
        <v>2009.6279999999999</v>
      </c>
      <c r="C256">
        <f t="shared" si="41"/>
        <v>6804</v>
      </c>
      <c r="D256">
        <f>'[1]site A (mm)'!M729</f>
        <v>92.640000000000072</v>
      </c>
      <c r="E256" s="20">
        <f t="shared" si="42"/>
        <v>1.193663081433287E-2</v>
      </c>
      <c r="F256" s="18">
        <f t="shared" si="43"/>
        <v>11.57441263818637</v>
      </c>
      <c r="G256" s="14">
        <f t="shared" si="44"/>
        <v>420.65646766568625</v>
      </c>
      <c r="H256" s="14">
        <f t="shared" si="48"/>
        <v>0.86719420357661647</v>
      </c>
      <c r="I256" s="19">
        <f t="shared" si="45"/>
        <v>2.0615259011441444E-3</v>
      </c>
      <c r="J256" s="14">
        <f t="shared" si="49"/>
        <v>100.34506766568626</v>
      </c>
      <c r="K256" s="14">
        <f t="shared" si="54"/>
        <v>23.887031007736311</v>
      </c>
      <c r="L256" s="14">
        <f t="shared" si="54"/>
        <v>0.27200713589505326</v>
      </c>
      <c r="M256" s="20">
        <f t="shared" si="53"/>
        <v>5.8346175436558061E-2</v>
      </c>
    </row>
    <row r="257" spans="1:13" x14ac:dyDescent="0.25">
      <c r="A257" s="8">
        <f>'[1]site A (mm)'!A730</f>
        <v>40050</v>
      </c>
      <c r="B257" s="36">
        <f>'[1]site A (mm)'!B730</f>
        <v>2009.6479999999999</v>
      </c>
      <c r="C257">
        <f t="shared" si="41"/>
        <v>6811</v>
      </c>
      <c r="D257">
        <f>'[1]site A (mm)'!M730</f>
        <v>92.890000000000072</v>
      </c>
      <c r="E257" s="20">
        <f t="shared" si="42"/>
        <v>3.9788769381109571E-3</v>
      </c>
      <c r="F257" s="18">
        <f t="shared" si="43"/>
        <v>11.578391515124482</v>
      </c>
      <c r="G257" s="14">
        <f t="shared" si="44"/>
        <v>420.94573124337069</v>
      </c>
      <c r="H257" s="14">
        <f t="shared" si="48"/>
        <v>0.28926357768443722</v>
      </c>
      <c r="I257" s="19">
        <f t="shared" si="45"/>
        <v>6.8717546280852733E-4</v>
      </c>
      <c r="J257" s="14">
        <f t="shared" si="49"/>
        <v>100.6343312433707</v>
      </c>
      <c r="K257" s="14">
        <f t="shared" si="54"/>
        <v>24.176294585420749</v>
      </c>
      <c r="L257" s="14">
        <f t="shared" si="54"/>
        <v>0.27269431135786182</v>
      </c>
      <c r="M257" s="20">
        <f t="shared" si="53"/>
        <v>5.9033350899366586E-2</v>
      </c>
    </row>
    <row r="258" spans="1:13" x14ac:dyDescent="0.25">
      <c r="A258" s="8">
        <f>'[1]site A (mm)'!A731</f>
        <v>40057</v>
      </c>
      <c r="B258" s="36">
        <f>'[1]site A (mm)'!B731</f>
        <v>2009.6669999999999</v>
      </c>
      <c r="C258">
        <f t="shared" ref="C258:C321" si="55">A258-33239</f>
        <v>6818</v>
      </c>
      <c r="D258">
        <f>'[1]site A (mm)'!M731</f>
        <v>93.590000000000074</v>
      </c>
      <c r="E258" s="20">
        <f t="shared" si="42"/>
        <v>1.1140855426710724E-2</v>
      </c>
      <c r="F258" s="18">
        <f t="shared" si="43"/>
        <v>11.589532370551192</v>
      </c>
      <c r="G258" s="14">
        <f t="shared" si="44"/>
        <v>421.75619818368932</v>
      </c>
      <c r="H258" s="14">
        <f t="shared" si="48"/>
        <v>0.81046694031863353</v>
      </c>
      <c r="I258" s="19">
        <f t="shared" si="45"/>
        <v>1.9216479658365265E-3</v>
      </c>
      <c r="J258" s="14">
        <f t="shared" si="49"/>
        <v>101.44479818368933</v>
      </c>
      <c r="K258" s="14">
        <f t="shared" si="54"/>
        <v>24.986761525739382</v>
      </c>
      <c r="L258" s="14">
        <f t="shared" si="54"/>
        <v>0.27461595932369837</v>
      </c>
      <c r="M258" s="20">
        <f t="shared" si="53"/>
        <v>6.0954998865203114E-2</v>
      </c>
    </row>
    <row r="259" spans="1:13" x14ac:dyDescent="0.25">
      <c r="A259" s="8">
        <f>'[1]site A (mm)'!A732</f>
        <v>40064</v>
      </c>
      <c r="B259" s="36">
        <f>'[1]site A (mm)'!B732</f>
        <v>2009.6859999999999</v>
      </c>
      <c r="C259">
        <f t="shared" si="55"/>
        <v>6825</v>
      </c>
      <c r="D259">
        <f>'[1]site A (mm)'!M732</f>
        <v>94.290000000000077</v>
      </c>
      <c r="E259" s="20">
        <f t="shared" ref="E259:E322" si="56">((D259-D258)/10)/(2*3.14159)</f>
        <v>1.1140855426710724E-2</v>
      </c>
      <c r="F259" s="18">
        <f t="shared" ref="F259:F322" si="57">E259+F258</f>
        <v>11.600673225977902</v>
      </c>
      <c r="G259" s="14">
        <f t="shared" ref="G259:G322" si="58">3.14*(F259^2)</f>
        <v>422.56744458919053</v>
      </c>
      <c r="H259" s="14">
        <f t="shared" si="48"/>
        <v>0.8112464055012083</v>
      </c>
      <c r="I259" s="19">
        <f t="shared" ref="I259:I322" si="59">H259/G259</f>
        <v>1.9198033731393617E-3</v>
      </c>
      <c r="J259" s="14">
        <f t="shared" si="49"/>
        <v>102.25604458919054</v>
      </c>
      <c r="K259" s="14">
        <f t="shared" si="54"/>
        <v>25.798007931240591</v>
      </c>
      <c r="L259" s="14">
        <f t="shared" si="54"/>
        <v>0.27653576269683772</v>
      </c>
      <c r="M259" s="20">
        <f t="shared" si="53"/>
        <v>6.2874802238342478E-2</v>
      </c>
    </row>
    <row r="260" spans="1:13" x14ac:dyDescent="0.25">
      <c r="A260" s="8">
        <f>'[1]site A (mm)'!A733</f>
        <v>40071</v>
      </c>
      <c r="B260" s="36">
        <f>'[1]site A (mm)'!B733</f>
        <v>2009.7049999999999</v>
      </c>
      <c r="C260">
        <f t="shared" si="55"/>
        <v>6832</v>
      </c>
      <c r="D260">
        <f>'[1]site A (mm)'!M733</f>
        <v>93.890000000000072</v>
      </c>
      <c r="E260" s="20">
        <f t="shared" si="56"/>
        <v>-6.3662031009776212E-3</v>
      </c>
      <c r="F260" s="18">
        <f t="shared" si="57"/>
        <v>11.594307022876924</v>
      </c>
      <c r="G260" s="14">
        <f t="shared" si="58"/>
        <v>422.10377976990213</v>
      </c>
      <c r="H260" s="14">
        <f t="shared" ref="H260:H323" si="60">G260-G259</f>
        <v>-0.46366481928839676</v>
      </c>
      <c r="I260" s="19">
        <f t="shared" si="59"/>
        <v>-1.0984616615874667E-3</v>
      </c>
      <c r="J260" s="14">
        <f t="shared" ref="J260:J323" si="61">H260+J259</f>
        <v>101.79237976990214</v>
      </c>
      <c r="K260" s="14">
        <f t="shared" si="54"/>
        <v>25.334343111952194</v>
      </c>
      <c r="L260" s="14">
        <f t="shared" si="54"/>
        <v>0.27543730103525027</v>
      </c>
      <c r="M260" s="20">
        <f t="shared" si="53"/>
        <v>6.1776340576755011E-2</v>
      </c>
    </row>
    <row r="261" spans="1:13" x14ac:dyDescent="0.25">
      <c r="A261" s="8">
        <f>'[1]site A (mm)'!A734</f>
        <v>40078</v>
      </c>
      <c r="B261" s="36">
        <f>'[1]site A (mm)'!B734</f>
        <v>2009.7239999999999</v>
      </c>
      <c r="C261">
        <f t="shared" si="55"/>
        <v>6839</v>
      </c>
      <c r="D261">
        <f>'[1]site A (mm)'!M734</f>
        <v>95.290000000000106</v>
      </c>
      <c r="E261" s="20">
        <f t="shared" si="56"/>
        <v>2.2281710853421899E-2</v>
      </c>
      <c r="F261" s="18">
        <f t="shared" si="57"/>
        <v>11.616588733730346</v>
      </c>
      <c r="G261" s="14">
        <f t="shared" si="58"/>
        <v>423.72772015910073</v>
      </c>
      <c r="H261" s="14">
        <f t="shared" si="60"/>
        <v>1.6239403891985944</v>
      </c>
      <c r="I261" s="19">
        <f t="shared" si="59"/>
        <v>3.8325092080094252E-3</v>
      </c>
      <c r="J261" s="14">
        <f t="shared" si="61"/>
        <v>103.41632015910074</v>
      </c>
      <c r="K261" s="14">
        <f t="shared" si="54"/>
        <v>26.958283501150788</v>
      </c>
      <c r="L261" s="14">
        <f t="shared" si="54"/>
        <v>0.2792698102432597</v>
      </c>
      <c r="M261" s="20">
        <f t="shared" si="53"/>
        <v>6.5608849784764431E-2</v>
      </c>
    </row>
    <row r="262" spans="1:13" x14ac:dyDescent="0.25">
      <c r="A262" s="8">
        <f>'[1]site A (mm)'!A735</f>
        <v>40085</v>
      </c>
      <c r="B262" s="36">
        <f>'[1]site A (mm)'!B735</f>
        <v>2009.7429999999999</v>
      </c>
      <c r="C262">
        <f t="shared" si="55"/>
        <v>6846</v>
      </c>
      <c r="D262">
        <f>'[1]site A (mm)'!M735</f>
        <v>95.540000000000106</v>
      </c>
      <c r="E262" s="20">
        <f t="shared" si="56"/>
        <v>3.9788769381109571E-3</v>
      </c>
      <c r="F262" s="18">
        <f t="shared" si="57"/>
        <v>11.620567610668457</v>
      </c>
      <c r="G262" s="14">
        <f t="shared" si="58"/>
        <v>424.0180376055269</v>
      </c>
      <c r="H262" s="14">
        <f t="shared" si="60"/>
        <v>0.29031744642617241</v>
      </c>
      <c r="I262" s="19">
        <f t="shared" si="59"/>
        <v>6.8468183114478963E-4</v>
      </c>
      <c r="J262" s="14">
        <f t="shared" si="61"/>
        <v>103.70663760552691</v>
      </c>
      <c r="K262" s="14">
        <f t="shared" si="54"/>
        <v>27.248600947576961</v>
      </c>
      <c r="L262" s="14">
        <f t="shared" si="54"/>
        <v>0.27995449207440448</v>
      </c>
      <c r="M262" s="20">
        <f t="shared" si="53"/>
        <v>6.6293531615909215E-2</v>
      </c>
    </row>
    <row r="263" spans="1:13" x14ac:dyDescent="0.25">
      <c r="A263" s="8">
        <f>'[1]site A (mm)'!A736</f>
        <v>40092</v>
      </c>
      <c r="B263" s="36">
        <f>'[1]site A (mm)'!B736</f>
        <v>2009.7619999999999</v>
      </c>
      <c r="C263">
        <f t="shared" si="55"/>
        <v>6853</v>
      </c>
      <c r="D263">
        <f>'[1]site A (mm)'!M736</f>
        <v>95.3900000000001</v>
      </c>
      <c r="E263" s="20">
        <f t="shared" si="56"/>
        <v>-2.3873261628666645E-3</v>
      </c>
      <c r="F263" s="18">
        <f t="shared" si="57"/>
        <v>11.618180284505591</v>
      </c>
      <c r="G263" s="14">
        <f t="shared" si="58"/>
        <v>423.84383520708167</v>
      </c>
      <c r="H263" s="14">
        <f t="shared" si="60"/>
        <v>-0.17420239844523167</v>
      </c>
      <c r="I263" s="19">
        <f t="shared" si="59"/>
        <v>-4.1100609227952988E-4</v>
      </c>
      <c r="J263" s="14">
        <f t="shared" si="61"/>
        <v>103.53243520708168</v>
      </c>
      <c r="K263" s="14">
        <f t="shared" si="54"/>
        <v>27.074398549131729</v>
      </c>
      <c r="L263" s="14">
        <f t="shared" si="54"/>
        <v>0.27954348598212497</v>
      </c>
      <c r="M263" s="20">
        <f t="shared" si="53"/>
        <v>6.5882525523629679E-2</v>
      </c>
    </row>
    <row r="264" spans="1:13" x14ac:dyDescent="0.25">
      <c r="A264" s="8">
        <f>'[1]site A (mm)'!A737</f>
        <v>40099</v>
      </c>
      <c r="B264" s="36">
        <f>'[1]site A (mm)'!B737</f>
        <v>2009.7809999999999</v>
      </c>
      <c r="C264">
        <f t="shared" si="55"/>
        <v>6860</v>
      </c>
      <c r="D264">
        <f>'[1]site A (mm)'!M737</f>
        <v>95.590000000000103</v>
      </c>
      <c r="E264" s="20">
        <f t="shared" si="56"/>
        <v>3.1831015504888106E-3</v>
      </c>
      <c r="F264" s="18">
        <f t="shared" si="57"/>
        <v>11.62136338605608</v>
      </c>
      <c r="G264" s="14">
        <f t="shared" si="58"/>
        <v>424.07611302540158</v>
      </c>
      <c r="H264" s="14">
        <f t="shared" si="60"/>
        <v>0.23227781831991479</v>
      </c>
      <c r="I264" s="19">
        <f t="shared" si="59"/>
        <v>5.4772671976929214E-4</v>
      </c>
      <c r="J264" s="14">
        <f t="shared" si="61"/>
        <v>103.76471302540159</v>
      </c>
      <c r="K264" s="14">
        <f t="shared" si="54"/>
        <v>27.306676367451644</v>
      </c>
      <c r="L264" s="14">
        <f t="shared" si="54"/>
        <v>0.28009121270189424</v>
      </c>
      <c r="M264" s="20">
        <f t="shared" si="53"/>
        <v>6.6430252243398977E-2</v>
      </c>
    </row>
    <row r="265" spans="1:13" x14ac:dyDescent="0.25">
      <c r="A265" s="37">
        <v>40106</v>
      </c>
      <c r="B265">
        <v>2009.8009999999999</v>
      </c>
      <c r="C265">
        <f t="shared" si="55"/>
        <v>6867</v>
      </c>
      <c r="D265">
        <v>95.690000000000097</v>
      </c>
      <c r="E265" s="20">
        <f t="shared" si="56"/>
        <v>1.5915507752442921E-3</v>
      </c>
      <c r="F265" s="18">
        <f t="shared" si="57"/>
        <v>11.622954936831324</v>
      </c>
      <c r="G265" s="14">
        <f t="shared" si="58"/>
        <v>424.19227579574056</v>
      </c>
      <c r="H265" s="14">
        <f t="shared" si="60"/>
        <v>0.11616277033897404</v>
      </c>
      <c r="I265" s="19">
        <f t="shared" si="59"/>
        <v>2.7384461473529845E-4</v>
      </c>
      <c r="J265" s="14">
        <f t="shared" si="61"/>
        <v>103.88087579574056</v>
      </c>
      <c r="K265" s="14">
        <f t="shared" ref="K265:L280" si="62">H265+K264</f>
        <v>27.422839137790618</v>
      </c>
      <c r="L265" s="14">
        <f t="shared" si="62"/>
        <v>0.28036505731662953</v>
      </c>
      <c r="M265" s="20">
        <f t="shared" si="53"/>
        <v>6.6704096858134276E-2</v>
      </c>
    </row>
    <row r="266" spans="1:13" x14ac:dyDescent="0.25">
      <c r="A266" s="37">
        <v>40120</v>
      </c>
      <c r="B266">
        <v>2009.8389999999999</v>
      </c>
      <c r="C266">
        <f t="shared" si="55"/>
        <v>6881</v>
      </c>
      <c r="D266">
        <v>95.8900000000001</v>
      </c>
      <c r="E266" s="20">
        <f t="shared" si="56"/>
        <v>3.1831015504888106E-3</v>
      </c>
      <c r="F266" s="18">
        <f t="shared" si="57"/>
        <v>11.626138038381812</v>
      </c>
      <c r="G266" s="14">
        <f t="shared" si="58"/>
        <v>424.42464905877665</v>
      </c>
      <c r="H266" s="14">
        <f t="shared" si="60"/>
        <v>0.23237326303609507</v>
      </c>
      <c r="I266" s="19">
        <f t="shared" si="59"/>
        <v>5.4750180874606734E-4</v>
      </c>
      <c r="J266" s="14">
        <f t="shared" si="61"/>
        <v>104.11324905877666</v>
      </c>
      <c r="K266" s="14">
        <f t="shared" si="62"/>
        <v>27.655212400826713</v>
      </c>
      <c r="L266" s="14">
        <f t="shared" si="62"/>
        <v>0.2809125591253756</v>
      </c>
      <c r="M266" s="20">
        <f t="shared" si="53"/>
        <v>6.7251598666880338E-2</v>
      </c>
    </row>
    <row r="267" spans="1:13" x14ac:dyDescent="0.25">
      <c r="A267" s="37">
        <v>40134</v>
      </c>
      <c r="B267">
        <v>2009.877</v>
      </c>
      <c r="C267">
        <f t="shared" si="55"/>
        <v>6895</v>
      </c>
      <c r="D267">
        <v>95.8900000000001</v>
      </c>
      <c r="E267" s="20">
        <f t="shared" si="56"/>
        <v>0</v>
      </c>
      <c r="F267" s="18">
        <f t="shared" si="57"/>
        <v>11.626138038381812</v>
      </c>
      <c r="G267" s="14">
        <f t="shared" si="58"/>
        <v>424.42464905877665</v>
      </c>
      <c r="H267" s="14">
        <f t="shared" si="60"/>
        <v>0</v>
      </c>
      <c r="I267" s="19">
        <f t="shared" si="59"/>
        <v>0</v>
      </c>
      <c r="J267" s="14">
        <f t="shared" si="61"/>
        <v>104.11324905877666</v>
      </c>
      <c r="K267" s="14">
        <f t="shared" si="62"/>
        <v>27.655212400826713</v>
      </c>
      <c r="L267" s="14">
        <f t="shared" si="62"/>
        <v>0.2809125591253756</v>
      </c>
      <c r="M267" s="20">
        <f t="shared" si="53"/>
        <v>6.7251598666880338E-2</v>
      </c>
    </row>
    <row r="268" spans="1:13" x14ac:dyDescent="0.25">
      <c r="A268" s="37">
        <v>40148</v>
      </c>
      <c r="B268">
        <v>2009.915</v>
      </c>
      <c r="C268">
        <f t="shared" si="55"/>
        <v>6909</v>
      </c>
      <c r="D268">
        <v>95.690000000000097</v>
      </c>
      <c r="E268" s="20">
        <f t="shared" si="56"/>
        <v>-3.1831015504888106E-3</v>
      </c>
      <c r="F268" s="18">
        <f t="shared" si="57"/>
        <v>11.622954936831324</v>
      </c>
      <c r="G268" s="14">
        <f t="shared" si="58"/>
        <v>424.19227579574056</v>
      </c>
      <c r="H268" s="14">
        <f t="shared" si="60"/>
        <v>-0.23237326303609507</v>
      </c>
      <c r="I268" s="19">
        <f t="shared" si="59"/>
        <v>-5.4780173118472518E-4</v>
      </c>
      <c r="J268" s="14">
        <f t="shared" si="61"/>
        <v>103.88087579574056</v>
      </c>
      <c r="K268" s="14">
        <f t="shared" si="62"/>
        <v>27.422839137790618</v>
      </c>
      <c r="L268" s="14">
        <f t="shared" si="62"/>
        <v>0.28036475739419087</v>
      </c>
      <c r="M268" s="20">
        <f t="shared" si="53"/>
        <v>6.6703796935695614E-2</v>
      </c>
    </row>
    <row r="269" spans="1:13" x14ac:dyDescent="0.25">
      <c r="A269" s="37">
        <v>40162</v>
      </c>
      <c r="B269">
        <v>2009.954</v>
      </c>
      <c r="C269">
        <f t="shared" si="55"/>
        <v>6923</v>
      </c>
      <c r="D269">
        <v>94.790000000000106</v>
      </c>
      <c r="E269" s="20">
        <f t="shared" si="56"/>
        <v>-1.4323956977199308E-2</v>
      </c>
      <c r="F269" s="18">
        <f t="shared" si="57"/>
        <v>11.608630979854125</v>
      </c>
      <c r="G269" s="14">
        <f t="shared" si="58"/>
        <v>423.14738353098687</v>
      </c>
      <c r="H269" s="14">
        <f t="shared" si="60"/>
        <v>-1.0448922647536847</v>
      </c>
      <c r="I269" s="19">
        <f t="shared" si="59"/>
        <v>-2.4693341030127573E-3</v>
      </c>
      <c r="J269" s="14">
        <f t="shared" si="61"/>
        <v>102.83598353098688</v>
      </c>
      <c r="K269" s="14">
        <f t="shared" si="62"/>
        <v>26.377946873036933</v>
      </c>
      <c r="L269" s="14">
        <f t="shared" si="62"/>
        <v>0.27789542329117811</v>
      </c>
      <c r="M269" s="20">
        <f t="shared" si="53"/>
        <v>6.4234462832682859E-2</v>
      </c>
    </row>
    <row r="270" spans="1:13" x14ac:dyDescent="0.25">
      <c r="A270" s="37">
        <v>40183</v>
      </c>
      <c r="B270">
        <v>2010.0139999999999</v>
      </c>
      <c r="C270">
        <f t="shared" si="55"/>
        <v>6944</v>
      </c>
      <c r="D270">
        <v>94.090000000000103</v>
      </c>
      <c r="E270" s="20">
        <f t="shared" si="56"/>
        <v>-1.1140855426710724E-2</v>
      </c>
      <c r="F270" s="18">
        <f t="shared" si="57"/>
        <v>11.597490124427415</v>
      </c>
      <c r="G270" s="14">
        <f t="shared" si="58"/>
        <v>422.33558036464109</v>
      </c>
      <c r="H270" s="14">
        <f t="shared" si="60"/>
        <v>-0.81180316634578276</v>
      </c>
      <c r="I270" s="19">
        <f t="shared" si="59"/>
        <v>-1.9221756444126221E-3</v>
      </c>
      <c r="J270" s="14">
        <f t="shared" si="61"/>
        <v>102.0241803646411</v>
      </c>
      <c r="K270" s="14">
        <f>H270</f>
        <v>-0.81180316634578276</v>
      </c>
      <c r="L270" s="14">
        <f t="shared" si="62"/>
        <v>0.27597324764676551</v>
      </c>
      <c r="M270" s="20">
        <f>I270</f>
        <v>-1.9221756444126221E-3</v>
      </c>
    </row>
    <row r="271" spans="1:13" x14ac:dyDescent="0.25">
      <c r="A271" s="38">
        <v>40204</v>
      </c>
      <c r="B271" s="39">
        <v>2010.0709999999999</v>
      </c>
      <c r="C271" s="40">
        <f t="shared" si="55"/>
        <v>6965</v>
      </c>
      <c r="D271" s="39">
        <v>93.8900000000001</v>
      </c>
      <c r="E271" s="20">
        <f t="shared" si="56"/>
        <v>-3.1831015504888106E-3</v>
      </c>
      <c r="F271" s="18">
        <f t="shared" si="57"/>
        <v>11.594307022876926</v>
      </c>
      <c r="G271" s="14">
        <f t="shared" si="58"/>
        <v>422.1037797699023</v>
      </c>
      <c r="H271" s="14">
        <f t="shared" si="60"/>
        <v>-0.231800594738786</v>
      </c>
      <c r="I271" s="19">
        <f t="shared" si="59"/>
        <v>-5.4915545855842708E-4</v>
      </c>
      <c r="J271" s="14">
        <f t="shared" si="61"/>
        <v>101.79237976990231</v>
      </c>
      <c r="K271" s="14">
        <f t="shared" ref="K271:L286" si="63">H271+K270</f>
        <v>-1.0436037610845688</v>
      </c>
      <c r="L271" s="14">
        <f t="shared" si="62"/>
        <v>0.27542409218820707</v>
      </c>
      <c r="M271" s="20">
        <f t="shared" ref="M271:M309" si="64">I271+M270</f>
        <v>-2.4713311029710494E-3</v>
      </c>
    </row>
    <row r="272" spans="1:13" x14ac:dyDescent="0.25">
      <c r="A272" s="38">
        <v>40225</v>
      </c>
      <c r="B272" s="39">
        <v>2010.1279999999999</v>
      </c>
      <c r="C272" s="40">
        <f t="shared" si="55"/>
        <v>6986</v>
      </c>
      <c r="D272" s="39">
        <v>93.8900000000001</v>
      </c>
      <c r="E272" s="20">
        <f t="shared" si="56"/>
        <v>0</v>
      </c>
      <c r="F272" s="18">
        <f t="shared" si="57"/>
        <v>11.594307022876926</v>
      </c>
      <c r="G272" s="14">
        <f t="shared" si="58"/>
        <v>422.1037797699023</v>
      </c>
      <c r="H272" s="14">
        <f t="shared" si="60"/>
        <v>0</v>
      </c>
      <c r="I272" s="19">
        <f t="shared" si="59"/>
        <v>0</v>
      </c>
      <c r="J272" s="14">
        <f t="shared" si="61"/>
        <v>101.79237976990231</v>
      </c>
      <c r="K272" s="14">
        <f t="shared" si="63"/>
        <v>-1.0436037610845688</v>
      </c>
      <c r="L272" s="14">
        <f t="shared" si="62"/>
        <v>0.27542409218820707</v>
      </c>
      <c r="M272" s="20">
        <f t="shared" si="64"/>
        <v>-2.4713311029710494E-3</v>
      </c>
    </row>
    <row r="273" spans="1:13" x14ac:dyDescent="0.25">
      <c r="A273" s="38">
        <v>40246</v>
      </c>
      <c r="B273" s="39">
        <v>2010.1859999999999</v>
      </c>
      <c r="C273" s="40">
        <f t="shared" si="55"/>
        <v>7007</v>
      </c>
      <c r="D273" s="39">
        <v>95.090000000000103</v>
      </c>
      <c r="E273" s="20">
        <f t="shared" si="56"/>
        <v>1.9098609302932636E-2</v>
      </c>
      <c r="F273" s="18">
        <f t="shared" si="57"/>
        <v>11.613405632179859</v>
      </c>
      <c r="G273" s="14">
        <f t="shared" si="58"/>
        <v>423.49553778549716</v>
      </c>
      <c r="H273" s="14">
        <f t="shared" si="60"/>
        <v>1.3917580155948599</v>
      </c>
      <c r="I273" s="19">
        <f t="shared" si="59"/>
        <v>3.2863581582760217E-3</v>
      </c>
      <c r="J273" s="14">
        <f t="shared" si="61"/>
        <v>103.18413778549717</v>
      </c>
      <c r="K273" s="14">
        <f t="shared" si="63"/>
        <v>0.34815425451029114</v>
      </c>
      <c r="L273" s="14">
        <f t="shared" si="62"/>
        <v>0.27871045034648312</v>
      </c>
      <c r="M273" s="20">
        <f t="shared" si="64"/>
        <v>8.1502705530497226E-4</v>
      </c>
    </row>
    <row r="274" spans="1:13" x14ac:dyDescent="0.25">
      <c r="A274" s="38">
        <v>40260</v>
      </c>
      <c r="B274" s="39">
        <v>2010.2239999999999</v>
      </c>
      <c r="C274" s="40">
        <f t="shared" si="55"/>
        <v>7021</v>
      </c>
      <c r="D274" s="39">
        <v>95.090000000000103</v>
      </c>
      <c r="E274" s="20">
        <f t="shared" si="56"/>
        <v>0</v>
      </c>
      <c r="F274" s="18">
        <f t="shared" si="57"/>
        <v>11.613405632179859</v>
      </c>
      <c r="G274" s="14">
        <f t="shared" si="58"/>
        <v>423.49553778549716</v>
      </c>
      <c r="H274" s="14">
        <f t="shared" si="60"/>
        <v>0</v>
      </c>
      <c r="I274" s="19">
        <f t="shared" si="59"/>
        <v>0</v>
      </c>
      <c r="J274" s="14">
        <f t="shared" si="61"/>
        <v>103.18413778549717</v>
      </c>
      <c r="K274" s="14">
        <f t="shared" si="63"/>
        <v>0.34815425451029114</v>
      </c>
      <c r="L274" s="14">
        <f t="shared" si="62"/>
        <v>0.27871045034648312</v>
      </c>
      <c r="M274" s="20">
        <f t="shared" si="64"/>
        <v>8.1502705530497226E-4</v>
      </c>
    </row>
    <row r="275" spans="1:13" x14ac:dyDescent="0.25">
      <c r="A275" s="38">
        <v>40270</v>
      </c>
      <c r="B275" s="39">
        <v>2010.251</v>
      </c>
      <c r="C275" s="40">
        <f t="shared" si="55"/>
        <v>7031</v>
      </c>
      <c r="D275" s="39">
        <v>95.190000000000111</v>
      </c>
      <c r="E275" s="20">
        <f t="shared" si="56"/>
        <v>1.5915507752445183E-3</v>
      </c>
      <c r="F275" s="18">
        <f t="shared" si="57"/>
        <v>11.614997182955104</v>
      </c>
      <c r="G275" s="14">
        <f t="shared" si="58"/>
        <v>423.61162101857269</v>
      </c>
      <c r="H275" s="14">
        <f t="shared" si="60"/>
        <v>0.11608323307552837</v>
      </c>
      <c r="I275" s="19">
        <f t="shared" si="59"/>
        <v>2.7403222035412211E-4</v>
      </c>
      <c r="J275" s="14">
        <f t="shared" si="61"/>
        <v>103.3002210185727</v>
      </c>
      <c r="K275" s="14">
        <f t="shared" si="63"/>
        <v>0.46423748758581951</v>
      </c>
      <c r="L275" s="14">
        <f t="shared" si="62"/>
        <v>0.27898448256683722</v>
      </c>
      <c r="M275" s="20">
        <f t="shared" si="64"/>
        <v>1.0890592756590944E-3</v>
      </c>
    </row>
    <row r="276" spans="1:13" x14ac:dyDescent="0.25">
      <c r="A276" s="38">
        <v>40277</v>
      </c>
      <c r="B276" s="39">
        <v>2010.2729999999999</v>
      </c>
      <c r="C276" s="40">
        <f t="shared" si="55"/>
        <v>7038</v>
      </c>
      <c r="D276" s="39">
        <v>95.390000000000114</v>
      </c>
      <c r="E276" s="20">
        <f t="shared" si="56"/>
        <v>3.1831015504888106E-3</v>
      </c>
      <c r="F276" s="18">
        <f t="shared" si="57"/>
        <v>11.618180284505593</v>
      </c>
      <c r="G276" s="14">
        <f t="shared" si="58"/>
        <v>423.84383520708184</v>
      </c>
      <c r="H276" s="14">
        <f t="shared" si="60"/>
        <v>0.23221418850914688</v>
      </c>
      <c r="I276" s="19">
        <f t="shared" si="59"/>
        <v>5.478767631377523E-4</v>
      </c>
      <c r="J276" s="14">
        <f t="shared" si="61"/>
        <v>103.53243520708185</v>
      </c>
      <c r="K276" s="14">
        <f t="shared" si="63"/>
        <v>0.69645167609496639</v>
      </c>
      <c r="L276" s="14">
        <f t="shared" si="62"/>
        <v>0.279532359329975</v>
      </c>
      <c r="M276" s="20">
        <f t="shared" si="64"/>
        <v>1.6369360387968467E-3</v>
      </c>
    </row>
    <row r="277" spans="1:13" x14ac:dyDescent="0.25">
      <c r="A277" s="38">
        <v>40284</v>
      </c>
      <c r="B277" s="39">
        <v>2010.29</v>
      </c>
      <c r="C277" s="40">
        <f t="shared" si="55"/>
        <v>7045</v>
      </c>
      <c r="D277" s="39">
        <v>95.290000000000106</v>
      </c>
      <c r="E277" s="20">
        <f t="shared" si="56"/>
        <v>-1.5915507752445183E-3</v>
      </c>
      <c r="F277" s="18">
        <f t="shared" si="57"/>
        <v>11.616588733730348</v>
      </c>
      <c r="G277" s="14">
        <f t="shared" si="58"/>
        <v>423.7277201591009</v>
      </c>
      <c r="H277" s="14">
        <f t="shared" si="60"/>
        <v>-0.11611504798094074</v>
      </c>
      <c r="I277" s="19">
        <f t="shared" si="59"/>
        <v>-2.7403222035448136E-4</v>
      </c>
      <c r="J277" s="14">
        <f t="shared" si="61"/>
        <v>103.41632015910091</v>
      </c>
      <c r="K277" s="14">
        <f t="shared" si="63"/>
        <v>0.58033662811402564</v>
      </c>
      <c r="L277" s="14">
        <f t="shared" si="62"/>
        <v>0.27925832710962051</v>
      </c>
      <c r="M277" s="20">
        <f t="shared" si="64"/>
        <v>1.3629038184423653E-3</v>
      </c>
    </row>
    <row r="278" spans="1:13" x14ac:dyDescent="0.25">
      <c r="A278" s="38">
        <v>40290</v>
      </c>
      <c r="B278" s="39">
        <v>2010.306</v>
      </c>
      <c r="C278" s="40">
        <f t="shared" si="55"/>
        <v>7051</v>
      </c>
      <c r="D278" s="39">
        <v>97.590000000000103</v>
      </c>
      <c r="E278" s="20">
        <f t="shared" si="56"/>
        <v>3.6605667830620754E-2</v>
      </c>
      <c r="F278" s="18">
        <f t="shared" si="57"/>
        <v>11.653194401560969</v>
      </c>
      <c r="G278" s="14">
        <f t="shared" si="58"/>
        <v>426.40239084819575</v>
      </c>
      <c r="H278" s="14">
        <f t="shared" si="60"/>
        <v>2.6746706890948531</v>
      </c>
      <c r="I278" s="19">
        <f t="shared" si="59"/>
        <v>6.2726446814109615E-3</v>
      </c>
      <c r="J278" s="14">
        <f t="shared" si="61"/>
        <v>106.09099084819576</v>
      </c>
      <c r="K278" s="14">
        <f t="shared" si="63"/>
        <v>3.2550073172088787</v>
      </c>
      <c r="L278" s="14">
        <f t="shared" si="62"/>
        <v>0.28553097179103148</v>
      </c>
      <c r="M278" s="20">
        <f t="shared" si="64"/>
        <v>7.6355484998533269E-3</v>
      </c>
    </row>
    <row r="279" spans="1:13" x14ac:dyDescent="0.25">
      <c r="A279" s="38">
        <v>40296</v>
      </c>
      <c r="B279" s="39">
        <v>2010.3219999999999</v>
      </c>
      <c r="C279" s="40">
        <f t="shared" si="55"/>
        <v>7057</v>
      </c>
      <c r="D279" s="39">
        <v>97.8900000000001</v>
      </c>
      <c r="E279" s="20">
        <f t="shared" si="56"/>
        <v>4.7746523257331027E-3</v>
      </c>
      <c r="F279" s="18">
        <f t="shared" si="57"/>
        <v>11.657969053886701</v>
      </c>
      <c r="G279" s="14">
        <f t="shared" si="58"/>
        <v>426.75188132873319</v>
      </c>
      <c r="H279" s="14">
        <f t="shared" si="60"/>
        <v>0.34949048053744036</v>
      </c>
      <c r="I279" s="19">
        <f t="shared" si="59"/>
        <v>8.1895475059012748E-4</v>
      </c>
      <c r="J279" s="14">
        <f t="shared" si="61"/>
        <v>106.4404813287332</v>
      </c>
      <c r="K279" s="14">
        <f t="shared" si="63"/>
        <v>3.6044977977463191</v>
      </c>
      <c r="L279" s="14">
        <f t="shared" si="62"/>
        <v>0.28634992654162161</v>
      </c>
      <c r="M279" s="20">
        <f t="shared" si="64"/>
        <v>8.4545032504434545E-3</v>
      </c>
    </row>
    <row r="280" spans="1:13" x14ac:dyDescent="0.25">
      <c r="A280" s="38">
        <v>40302</v>
      </c>
      <c r="B280" s="39">
        <v>2010.3389999999999</v>
      </c>
      <c r="C280" s="40">
        <f t="shared" si="55"/>
        <v>7063</v>
      </c>
      <c r="D280" s="39">
        <v>98.590000000000103</v>
      </c>
      <c r="E280" s="20">
        <f t="shared" si="56"/>
        <v>1.1140855426710724E-2</v>
      </c>
      <c r="F280" s="18">
        <f t="shared" si="57"/>
        <v>11.669109909313411</v>
      </c>
      <c r="G280" s="14">
        <f t="shared" si="58"/>
        <v>427.56791587749848</v>
      </c>
      <c r="H280" s="14">
        <f t="shared" si="60"/>
        <v>0.81603454876528758</v>
      </c>
      <c r="I280" s="19">
        <f t="shared" si="59"/>
        <v>1.9085495390610361E-3</v>
      </c>
      <c r="J280" s="14">
        <f t="shared" si="61"/>
        <v>107.25651587749849</v>
      </c>
      <c r="K280" s="14">
        <f t="shared" si="63"/>
        <v>4.4205323465116066</v>
      </c>
      <c r="L280" s="14">
        <f t="shared" si="62"/>
        <v>0.28825847608068267</v>
      </c>
      <c r="M280" s="20">
        <f t="shared" si="64"/>
        <v>1.0363052789504491E-2</v>
      </c>
    </row>
    <row r="281" spans="1:13" x14ac:dyDescent="0.25">
      <c r="A281" s="38">
        <v>40309</v>
      </c>
      <c r="B281" s="39">
        <v>2010.3579999999999</v>
      </c>
      <c r="C281" s="40">
        <f t="shared" si="55"/>
        <v>7070</v>
      </c>
      <c r="D281" s="39">
        <v>99.490000000000094</v>
      </c>
      <c r="E281" s="20">
        <f t="shared" si="56"/>
        <v>1.4323956977199308E-2</v>
      </c>
      <c r="F281" s="18">
        <f t="shared" si="57"/>
        <v>11.68343386629061</v>
      </c>
      <c r="G281" s="14">
        <f t="shared" si="58"/>
        <v>428.61824849107717</v>
      </c>
      <c r="H281" s="14">
        <f t="shared" si="60"/>
        <v>1.0503326135786892</v>
      </c>
      <c r="I281" s="19">
        <f t="shared" si="59"/>
        <v>2.4505083889365823E-3</v>
      </c>
      <c r="J281" s="14">
        <f t="shared" si="61"/>
        <v>108.30684849107718</v>
      </c>
      <c r="K281" s="14">
        <f t="shared" si="63"/>
        <v>5.4708649600902959</v>
      </c>
      <c r="L281" s="14">
        <f t="shared" si="63"/>
        <v>0.29070898446961924</v>
      </c>
      <c r="M281" s="20">
        <f t="shared" si="64"/>
        <v>1.2813561178441072E-2</v>
      </c>
    </row>
    <row r="282" spans="1:13" x14ac:dyDescent="0.25">
      <c r="A282" s="38">
        <v>40316</v>
      </c>
      <c r="B282" s="39">
        <v>2010.377</v>
      </c>
      <c r="C282" s="40">
        <f t="shared" si="55"/>
        <v>7077</v>
      </c>
      <c r="D282" s="39">
        <v>99.990000000000094</v>
      </c>
      <c r="E282" s="20">
        <f t="shared" si="56"/>
        <v>7.9577538762219142E-3</v>
      </c>
      <c r="F282" s="18">
        <f t="shared" si="57"/>
        <v>11.691391620166831</v>
      </c>
      <c r="G282" s="14">
        <f t="shared" si="58"/>
        <v>429.20232337057666</v>
      </c>
      <c r="H282" s="14">
        <f t="shared" si="60"/>
        <v>0.58407487949949655</v>
      </c>
      <c r="I282" s="19">
        <f t="shared" si="59"/>
        <v>1.3608381122280219E-3</v>
      </c>
      <c r="J282" s="14">
        <f t="shared" si="61"/>
        <v>108.89092337057667</v>
      </c>
      <c r="K282" s="14">
        <f t="shared" si="63"/>
        <v>6.0549398395897924</v>
      </c>
      <c r="L282" s="14">
        <f t="shared" si="63"/>
        <v>0.29206982258184727</v>
      </c>
      <c r="M282" s="20">
        <f t="shared" si="64"/>
        <v>1.4174399290669094E-2</v>
      </c>
    </row>
    <row r="283" spans="1:13" x14ac:dyDescent="0.25">
      <c r="A283" s="38">
        <v>40323</v>
      </c>
      <c r="B283" s="39">
        <v>2010.396</v>
      </c>
      <c r="C283" s="40">
        <f t="shared" si="55"/>
        <v>7084</v>
      </c>
      <c r="D283" s="39">
        <v>100.6900000000001</v>
      </c>
      <c r="E283" s="20">
        <f t="shared" si="56"/>
        <v>1.1140855426710724E-2</v>
      </c>
      <c r="F283" s="18">
        <f t="shared" si="57"/>
        <v>11.702532475593541</v>
      </c>
      <c r="G283" s="14">
        <f t="shared" si="58"/>
        <v>430.02069631488951</v>
      </c>
      <c r="H283" s="14">
        <f t="shared" si="60"/>
        <v>0.81837294431284135</v>
      </c>
      <c r="I283" s="19">
        <f t="shared" si="59"/>
        <v>1.9031012956492092E-3</v>
      </c>
      <c r="J283" s="14">
        <f t="shared" si="61"/>
        <v>109.70929631488951</v>
      </c>
      <c r="K283" s="14">
        <f t="shared" si="63"/>
        <v>6.8733127839026338</v>
      </c>
      <c r="L283" s="14">
        <f t="shared" si="63"/>
        <v>0.29397292387749646</v>
      </c>
      <c r="M283" s="20">
        <f t="shared" si="64"/>
        <v>1.6077500586318304E-2</v>
      </c>
    </row>
    <row r="284" spans="1:13" x14ac:dyDescent="0.25">
      <c r="A284" s="38">
        <v>40330</v>
      </c>
      <c r="B284" s="39">
        <v>2010.415</v>
      </c>
      <c r="C284" s="40">
        <f t="shared" si="55"/>
        <v>7091</v>
      </c>
      <c r="D284" s="39">
        <v>101.6900000000001</v>
      </c>
      <c r="E284" s="20">
        <f t="shared" si="56"/>
        <v>1.5915507752443828E-2</v>
      </c>
      <c r="F284" s="18">
        <f t="shared" si="57"/>
        <v>11.718447983345985</v>
      </c>
      <c r="G284" s="14">
        <f t="shared" si="58"/>
        <v>431.19115265453075</v>
      </c>
      <c r="H284" s="14">
        <f t="shared" si="60"/>
        <v>1.1704563396412482</v>
      </c>
      <c r="I284" s="19">
        <f t="shared" si="59"/>
        <v>2.7144720675171524E-3</v>
      </c>
      <c r="J284" s="14">
        <f t="shared" si="61"/>
        <v>110.87975265453076</v>
      </c>
      <c r="K284" s="14">
        <f t="shared" si="63"/>
        <v>8.043769123543882</v>
      </c>
      <c r="L284" s="14">
        <f t="shared" si="63"/>
        <v>0.29668739594501359</v>
      </c>
      <c r="M284" s="20">
        <f t="shared" si="64"/>
        <v>1.8791972653835455E-2</v>
      </c>
    </row>
    <row r="285" spans="1:13" x14ac:dyDescent="0.25">
      <c r="A285" s="38">
        <v>40337</v>
      </c>
      <c r="B285" s="39">
        <v>2010.434</v>
      </c>
      <c r="C285" s="40">
        <f t="shared" si="55"/>
        <v>7098</v>
      </c>
      <c r="D285" s="39">
        <v>104.49000000000009</v>
      </c>
      <c r="E285" s="20">
        <f t="shared" si="56"/>
        <v>4.4563421706842667E-2</v>
      </c>
      <c r="F285" s="18">
        <f t="shared" si="57"/>
        <v>11.763011405052827</v>
      </c>
      <c r="G285" s="14">
        <f t="shared" si="58"/>
        <v>434.47689317036514</v>
      </c>
      <c r="H285" s="14">
        <f t="shared" si="60"/>
        <v>3.2857405158343909</v>
      </c>
      <c r="I285" s="19">
        <f t="shared" si="59"/>
        <v>7.5625207404205978E-3</v>
      </c>
      <c r="J285" s="14">
        <f t="shared" si="61"/>
        <v>114.16549317036515</v>
      </c>
      <c r="K285" s="14">
        <f t="shared" si="63"/>
        <v>11.329509639378273</v>
      </c>
      <c r="L285" s="14">
        <f t="shared" si="63"/>
        <v>0.30424991668543416</v>
      </c>
      <c r="M285" s="20">
        <f t="shared" si="64"/>
        <v>2.6354493394256051E-2</v>
      </c>
    </row>
    <row r="286" spans="1:13" x14ac:dyDescent="0.25">
      <c r="A286" s="38">
        <v>40344</v>
      </c>
      <c r="B286" s="39">
        <v>2010.454</v>
      </c>
      <c r="C286" s="40">
        <f t="shared" si="55"/>
        <v>7105</v>
      </c>
      <c r="D286" s="39">
        <v>105.09000000000009</v>
      </c>
      <c r="E286" s="20">
        <f t="shared" si="56"/>
        <v>9.5493046514662054E-3</v>
      </c>
      <c r="F286" s="18">
        <f t="shared" si="57"/>
        <v>11.772560709704294</v>
      </c>
      <c r="G286" s="14">
        <f t="shared" si="58"/>
        <v>435.18260298393409</v>
      </c>
      <c r="H286" s="14">
        <f t="shared" si="60"/>
        <v>0.70570981356894436</v>
      </c>
      <c r="I286" s="19">
        <f t="shared" si="59"/>
        <v>1.6216406830835504E-3</v>
      </c>
      <c r="J286" s="14">
        <f t="shared" si="61"/>
        <v>114.8712029839341</v>
      </c>
      <c r="K286" s="14">
        <f t="shared" si="63"/>
        <v>12.035219452947217</v>
      </c>
      <c r="L286" s="14">
        <f t="shared" si="63"/>
        <v>0.30587155736851773</v>
      </c>
      <c r="M286" s="20">
        <f t="shared" si="64"/>
        <v>2.79761340773396E-2</v>
      </c>
    </row>
    <row r="287" spans="1:13" x14ac:dyDescent="0.25">
      <c r="A287" s="38">
        <v>40351</v>
      </c>
      <c r="B287" s="39">
        <v>2010.473</v>
      </c>
      <c r="C287" s="40">
        <f t="shared" si="55"/>
        <v>7112</v>
      </c>
      <c r="D287" s="39">
        <v>105.39000000000009</v>
      </c>
      <c r="E287" s="20">
        <f t="shared" si="56"/>
        <v>4.7746523257331027E-3</v>
      </c>
      <c r="F287" s="18">
        <f t="shared" si="57"/>
        <v>11.777335362030026</v>
      </c>
      <c r="G287" s="14">
        <f t="shared" si="58"/>
        <v>435.53567264133</v>
      </c>
      <c r="H287" s="14">
        <f t="shared" si="60"/>
        <v>0.35306965739590623</v>
      </c>
      <c r="I287" s="19">
        <f t="shared" si="59"/>
        <v>8.1065611745347033E-4</v>
      </c>
      <c r="J287" s="14">
        <f t="shared" si="61"/>
        <v>115.22427264133</v>
      </c>
      <c r="K287" s="14">
        <f t="shared" ref="K287:L302" si="65">H287+K286</f>
        <v>12.388289110343123</v>
      </c>
      <c r="L287" s="14">
        <f t="shared" si="65"/>
        <v>0.30668221348597119</v>
      </c>
      <c r="M287" s="20">
        <f t="shared" si="64"/>
        <v>2.878679019479307E-2</v>
      </c>
    </row>
    <row r="288" spans="1:13" x14ac:dyDescent="0.25">
      <c r="A288" s="38">
        <v>40358</v>
      </c>
      <c r="B288" s="39">
        <v>2010.492</v>
      </c>
      <c r="C288" s="40">
        <f t="shared" si="55"/>
        <v>7119</v>
      </c>
      <c r="D288" s="39">
        <v>105.79000000000009</v>
      </c>
      <c r="E288" s="20">
        <f t="shared" si="56"/>
        <v>6.3662031009776212E-3</v>
      </c>
      <c r="F288" s="18">
        <f t="shared" si="57"/>
        <v>11.783701565131004</v>
      </c>
      <c r="G288" s="14">
        <f t="shared" si="58"/>
        <v>436.00665488886261</v>
      </c>
      <c r="H288" s="14">
        <f t="shared" si="60"/>
        <v>0.47098224753261775</v>
      </c>
      <c r="I288" s="19">
        <f t="shared" si="59"/>
        <v>1.0802180247745769E-3</v>
      </c>
      <c r="J288" s="14">
        <f t="shared" si="61"/>
        <v>115.69525488886262</v>
      </c>
      <c r="K288" s="14">
        <f t="shared" si="65"/>
        <v>12.859271357875741</v>
      </c>
      <c r="L288" s="14">
        <f t="shared" si="65"/>
        <v>0.30776243151074578</v>
      </c>
      <c r="M288" s="20">
        <f t="shared" si="64"/>
        <v>2.9867008219567646E-2</v>
      </c>
    </row>
    <row r="289" spans="1:13" x14ac:dyDescent="0.25">
      <c r="A289" s="38">
        <v>40365</v>
      </c>
      <c r="B289" s="39">
        <v>2010.511</v>
      </c>
      <c r="C289" s="40">
        <f t="shared" si="55"/>
        <v>7126</v>
      </c>
      <c r="D289" s="39">
        <v>106.59000000000009</v>
      </c>
      <c r="E289" s="20">
        <f t="shared" si="56"/>
        <v>1.2732406201955015E-2</v>
      </c>
      <c r="F289" s="18">
        <f t="shared" si="57"/>
        <v>11.796433971332959</v>
      </c>
      <c r="G289" s="14">
        <f t="shared" si="58"/>
        <v>436.94938294165746</v>
      </c>
      <c r="H289" s="14">
        <f t="shared" si="60"/>
        <v>0.94272805279484828</v>
      </c>
      <c r="I289" s="19">
        <f t="shared" si="59"/>
        <v>2.1575223346195311E-3</v>
      </c>
      <c r="J289" s="14">
        <f t="shared" si="61"/>
        <v>116.63798294165747</v>
      </c>
      <c r="K289" s="14">
        <f t="shared" si="65"/>
        <v>13.801999410670589</v>
      </c>
      <c r="L289" s="14">
        <f t="shared" si="65"/>
        <v>0.3099199538453653</v>
      </c>
      <c r="M289" s="20">
        <f t="shared" si="64"/>
        <v>3.2024530554187178E-2</v>
      </c>
    </row>
    <row r="290" spans="1:13" x14ac:dyDescent="0.25">
      <c r="A290" s="38">
        <v>40372</v>
      </c>
      <c r="B290" s="39">
        <v>2010.53</v>
      </c>
      <c r="C290" s="40">
        <f t="shared" si="55"/>
        <v>7133</v>
      </c>
      <c r="D290" s="39">
        <v>107.29000000000009</v>
      </c>
      <c r="E290" s="20">
        <f t="shared" si="56"/>
        <v>1.1140855426710724E-2</v>
      </c>
      <c r="F290" s="18">
        <f t="shared" si="57"/>
        <v>11.807574826759669</v>
      </c>
      <c r="G290" s="14">
        <f t="shared" si="58"/>
        <v>437.77510512911994</v>
      </c>
      <c r="H290" s="14">
        <f t="shared" si="60"/>
        <v>0.82572218746247472</v>
      </c>
      <c r="I290" s="19">
        <f t="shared" si="59"/>
        <v>1.8861789484784235E-3</v>
      </c>
      <c r="J290" s="14">
        <f t="shared" si="61"/>
        <v>117.46370512911994</v>
      </c>
      <c r="K290" s="14">
        <f t="shared" si="65"/>
        <v>14.627721598133064</v>
      </c>
      <c r="L290" s="14">
        <f t="shared" si="65"/>
        <v>0.31180613279384373</v>
      </c>
      <c r="M290" s="20">
        <f t="shared" si="64"/>
        <v>3.3910709502665601E-2</v>
      </c>
    </row>
    <row r="291" spans="1:13" x14ac:dyDescent="0.25">
      <c r="A291" s="38">
        <v>40379</v>
      </c>
      <c r="B291" s="39">
        <v>2010.549</v>
      </c>
      <c r="C291" s="40">
        <f t="shared" si="55"/>
        <v>7140</v>
      </c>
      <c r="D291" s="39">
        <v>107.39000000000009</v>
      </c>
      <c r="E291" s="20">
        <f t="shared" si="56"/>
        <v>1.5915507752442921E-3</v>
      </c>
      <c r="F291" s="18">
        <f t="shared" si="57"/>
        <v>11.809166377534913</v>
      </c>
      <c r="G291" s="14">
        <f t="shared" si="58"/>
        <v>437.89312907142534</v>
      </c>
      <c r="H291" s="14">
        <f t="shared" si="60"/>
        <v>0.11802394230539903</v>
      </c>
      <c r="I291" s="19">
        <f t="shared" si="59"/>
        <v>2.6952681937639629E-4</v>
      </c>
      <c r="J291" s="14">
        <f t="shared" si="61"/>
        <v>117.58172907142534</v>
      </c>
      <c r="K291" s="14">
        <f t="shared" si="65"/>
        <v>14.745745540438463</v>
      </c>
      <c r="L291" s="14">
        <f t="shared" si="65"/>
        <v>0.31207565961322015</v>
      </c>
      <c r="M291" s="20">
        <f t="shared" si="64"/>
        <v>3.4180236322042E-2</v>
      </c>
    </row>
    <row r="292" spans="1:13" x14ac:dyDescent="0.25">
      <c r="A292" s="38">
        <v>40386</v>
      </c>
      <c r="B292" s="39">
        <v>2010.568</v>
      </c>
      <c r="C292" s="40">
        <f t="shared" si="55"/>
        <v>7147</v>
      </c>
      <c r="D292" s="39">
        <v>109.49000000000008</v>
      </c>
      <c r="E292" s="20">
        <f t="shared" si="56"/>
        <v>3.3422566280131946E-2</v>
      </c>
      <c r="F292" s="18">
        <f t="shared" si="57"/>
        <v>11.842588943815045</v>
      </c>
      <c r="G292" s="14">
        <f t="shared" si="58"/>
        <v>440.3753064814149</v>
      </c>
      <c r="H292" s="14">
        <f t="shared" si="60"/>
        <v>2.4821774099895606</v>
      </c>
      <c r="I292" s="19">
        <f t="shared" si="59"/>
        <v>5.6365045302428094E-3</v>
      </c>
      <c r="J292" s="14">
        <f t="shared" si="61"/>
        <v>120.0639064814149</v>
      </c>
      <c r="K292" s="14">
        <f t="shared" si="65"/>
        <v>17.227922950428024</v>
      </c>
      <c r="L292" s="14">
        <f t="shared" si="65"/>
        <v>0.31771216414346298</v>
      </c>
      <c r="M292" s="20">
        <f t="shared" si="64"/>
        <v>3.9816740852284808E-2</v>
      </c>
    </row>
    <row r="293" spans="1:13" x14ac:dyDescent="0.25">
      <c r="A293" s="38">
        <v>40393</v>
      </c>
      <c r="B293" s="39">
        <v>2010.587</v>
      </c>
      <c r="C293" s="40">
        <f t="shared" si="55"/>
        <v>7154</v>
      </c>
      <c r="D293" s="39">
        <v>110.34000000000007</v>
      </c>
      <c r="E293" s="20">
        <f t="shared" si="56"/>
        <v>1.3528181589577163E-2</v>
      </c>
      <c r="F293" s="18">
        <f t="shared" si="57"/>
        <v>11.856117125404623</v>
      </c>
      <c r="G293" s="14">
        <f t="shared" si="58"/>
        <v>441.38199173472219</v>
      </c>
      <c r="H293" s="14">
        <f t="shared" si="60"/>
        <v>1.0066852533072961</v>
      </c>
      <c r="I293" s="19">
        <f t="shared" si="59"/>
        <v>2.2807574213683152E-3</v>
      </c>
      <c r="J293" s="14">
        <f t="shared" si="61"/>
        <v>121.0705917347222</v>
      </c>
      <c r="K293" s="14">
        <f t="shared" si="65"/>
        <v>18.23460820373532</v>
      </c>
      <c r="L293" s="14">
        <f t="shared" si="65"/>
        <v>0.31999292156483128</v>
      </c>
      <c r="M293" s="20">
        <f t="shared" si="64"/>
        <v>4.2097498273653125E-2</v>
      </c>
    </row>
    <row r="294" spans="1:13" x14ac:dyDescent="0.25">
      <c r="A294" s="38">
        <v>40400</v>
      </c>
      <c r="B294" s="39">
        <v>2010.607</v>
      </c>
      <c r="C294" s="40">
        <f t="shared" si="55"/>
        <v>7161</v>
      </c>
      <c r="D294" s="39">
        <v>111.44000000000008</v>
      </c>
      <c r="E294" s="20">
        <f t="shared" si="56"/>
        <v>1.7507058527688343E-2</v>
      </c>
      <c r="F294" s="18">
        <f t="shared" si="57"/>
        <v>11.873624183932311</v>
      </c>
      <c r="G294" s="14">
        <f t="shared" si="58"/>
        <v>442.68646696036342</v>
      </c>
      <c r="H294" s="14">
        <f t="shared" si="60"/>
        <v>1.3044752256412266</v>
      </c>
      <c r="I294" s="19">
        <f t="shared" si="59"/>
        <v>2.9467248786668346E-3</v>
      </c>
      <c r="J294" s="14">
        <f t="shared" si="61"/>
        <v>122.37506696036343</v>
      </c>
      <c r="K294" s="14">
        <f t="shared" si="65"/>
        <v>19.539083429376547</v>
      </c>
      <c r="L294" s="14">
        <f t="shared" si="65"/>
        <v>0.3229396464434981</v>
      </c>
      <c r="M294" s="20">
        <f t="shared" si="64"/>
        <v>4.5044223152319957E-2</v>
      </c>
    </row>
    <row r="295" spans="1:13" x14ac:dyDescent="0.25">
      <c r="A295" s="38">
        <v>40407</v>
      </c>
      <c r="B295" s="39">
        <v>2010.626</v>
      </c>
      <c r="C295" s="40">
        <f t="shared" si="55"/>
        <v>7168</v>
      </c>
      <c r="D295" s="39">
        <v>112.89000000000009</v>
      </c>
      <c r="E295" s="20">
        <f t="shared" si="56"/>
        <v>2.3077486241043596E-2</v>
      </c>
      <c r="F295" s="18">
        <f t="shared" si="57"/>
        <v>11.896701670173353</v>
      </c>
      <c r="G295" s="14">
        <f t="shared" si="58"/>
        <v>444.40894337539117</v>
      </c>
      <c r="H295" s="14">
        <f t="shared" si="60"/>
        <v>1.7224764150277565</v>
      </c>
      <c r="I295" s="19">
        <f t="shared" si="59"/>
        <v>3.8758815291725234E-3</v>
      </c>
      <c r="J295" s="14">
        <f t="shared" si="61"/>
        <v>124.09754337539118</v>
      </c>
      <c r="K295" s="14">
        <f t="shared" si="65"/>
        <v>21.261559844404303</v>
      </c>
      <c r="L295" s="14">
        <f t="shared" si="65"/>
        <v>0.32681552797267061</v>
      </c>
      <c r="M295" s="20">
        <f t="shared" si="64"/>
        <v>4.8920104681492479E-2</v>
      </c>
    </row>
    <row r="296" spans="1:13" x14ac:dyDescent="0.25">
      <c r="A296" s="38">
        <v>40414</v>
      </c>
      <c r="B296" s="39">
        <v>2010.645</v>
      </c>
      <c r="C296" s="40">
        <f t="shared" si="55"/>
        <v>7175</v>
      </c>
      <c r="D296" s="39">
        <v>113.49000000000009</v>
      </c>
      <c r="E296" s="20">
        <f t="shared" si="56"/>
        <v>9.5493046514664309E-3</v>
      </c>
      <c r="F296" s="18">
        <f t="shared" si="57"/>
        <v>11.90625097482482</v>
      </c>
      <c r="G296" s="14">
        <f t="shared" si="58"/>
        <v>445.12267054512336</v>
      </c>
      <c r="H296" s="14">
        <f t="shared" si="60"/>
        <v>0.71372716973218076</v>
      </c>
      <c r="I296" s="19">
        <f t="shared" si="59"/>
        <v>1.6034392695795712E-3</v>
      </c>
      <c r="J296" s="14">
        <f t="shared" si="61"/>
        <v>124.81127054512336</v>
      </c>
      <c r="K296" s="14">
        <f t="shared" si="65"/>
        <v>21.975287014136484</v>
      </c>
      <c r="L296" s="14">
        <f t="shared" si="65"/>
        <v>0.32841896724225017</v>
      </c>
      <c r="M296" s="20">
        <f t="shared" si="64"/>
        <v>5.0523543951072052E-2</v>
      </c>
    </row>
    <row r="297" spans="1:13" x14ac:dyDescent="0.25">
      <c r="A297" s="38">
        <v>40421</v>
      </c>
      <c r="B297" s="39">
        <v>2010.664</v>
      </c>
      <c r="C297" s="40">
        <f t="shared" si="55"/>
        <v>7182</v>
      </c>
      <c r="D297" s="39">
        <v>113.4400000000001</v>
      </c>
      <c r="E297" s="20">
        <f t="shared" si="56"/>
        <v>-7.9577538762214605E-4</v>
      </c>
      <c r="F297" s="18">
        <f t="shared" si="57"/>
        <v>11.905455199437197</v>
      </c>
      <c r="G297" s="14">
        <f t="shared" si="58"/>
        <v>445.06317140823148</v>
      </c>
      <c r="H297" s="14">
        <f t="shared" si="60"/>
        <v>-5.9499136891872695E-2</v>
      </c>
      <c r="I297" s="19">
        <f t="shared" si="59"/>
        <v>-1.3368694763849035E-4</v>
      </c>
      <c r="J297" s="14">
        <f t="shared" si="61"/>
        <v>124.75177140823149</v>
      </c>
      <c r="K297" s="14">
        <f t="shared" si="65"/>
        <v>21.915787877244611</v>
      </c>
      <c r="L297" s="14">
        <f t="shared" si="65"/>
        <v>0.32828528029461168</v>
      </c>
      <c r="M297" s="20">
        <f t="shared" si="64"/>
        <v>5.0389857003433562E-2</v>
      </c>
    </row>
    <row r="298" spans="1:13" x14ac:dyDescent="0.25">
      <c r="A298" s="38">
        <v>40428</v>
      </c>
      <c r="B298" s="39">
        <v>2010.683</v>
      </c>
      <c r="C298" s="40">
        <f t="shared" si="55"/>
        <v>7189</v>
      </c>
      <c r="D298" s="39">
        <v>113.29000000000009</v>
      </c>
      <c r="E298" s="20">
        <f t="shared" si="56"/>
        <v>-2.3873261628666645E-3</v>
      </c>
      <c r="F298" s="18">
        <f t="shared" si="57"/>
        <v>11.903067873274331</v>
      </c>
      <c r="G298" s="14">
        <f t="shared" si="58"/>
        <v>444.88469785873514</v>
      </c>
      <c r="H298" s="14">
        <f t="shared" si="60"/>
        <v>-0.17847354949634564</v>
      </c>
      <c r="I298" s="19">
        <f t="shared" si="59"/>
        <v>-4.0116810120768999E-4</v>
      </c>
      <c r="J298" s="14">
        <f t="shared" si="61"/>
        <v>124.57329785873515</v>
      </c>
      <c r="K298" s="14">
        <f t="shared" si="65"/>
        <v>21.737314327748265</v>
      </c>
      <c r="L298" s="14">
        <f t="shared" si="65"/>
        <v>0.32788411219340396</v>
      </c>
      <c r="M298" s="20">
        <f t="shared" si="64"/>
        <v>4.9988688902225874E-2</v>
      </c>
    </row>
    <row r="299" spans="1:13" x14ac:dyDescent="0.25">
      <c r="A299" s="38">
        <v>40435</v>
      </c>
      <c r="B299" s="39">
        <v>2010.702</v>
      </c>
      <c r="C299" s="40">
        <f t="shared" si="55"/>
        <v>7196</v>
      </c>
      <c r="D299" s="39">
        <v>113.04000000000009</v>
      </c>
      <c r="E299" s="20">
        <f t="shared" si="56"/>
        <v>-3.9788769381109571E-3</v>
      </c>
      <c r="F299" s="18">
        <f t="shared" si="57"/>
        <v>11.89908899633622</v>
      </c>
      <c r="G299" s="14">
        <f t="shared" si="58"/>
        <v>444.58732148017128</v>
      </c>
      <c r="H299" s="14">
        <f t="shared" si="60"/>
        <v>-0.2973763785638539</v>
      </c>
      <c r="I299" s="19">
        <f t="shared" si="59"/>
        <v>-6.6888182410104323E-4</v>
      </c>
      <c r="J299" s="14">
        <f t="shared" si="61"/>
        <v>124.27592148017129</v>
      </c>
      <c r="K299" s="14">
        <f t="shared" si="65"/>
        <v>21.439937949184412</v>
      </c>
      <c r="L299" s="14">
        <f t="shared" si="65"/>
        <v>0.32721523036930295</v>
      </c>
      <c r="M299" s="20">
        <f t="shared" si="64"/>
        <v>4.9319807078124833E-2</v>
      </c>
    </row>
    <row r="300" spans="1:13" x14ac:dyDescent="0.25">
      <c r="A300" s="38">
        <v>40442</v>
      </c>
      <c r="B300" s="39">
        <v>2010.721</v>
      </c>
      <c r="C300" s="40">
        <f t="shared" si="55"/>
        <v>7203</v>
      </c>
      <c r="D300" s="39">
        <v>112.6400000000001</v>
      </c>
      <c r="E300" s="20">
        <f t="shared" si="56"/>
        <v>-6.3662031009773948E-3</v>
      </c>
      <c r="F300" s="18">
        <f t="shared" si="57"/>
        <v>11.892722793235242</v>
      </c>
      <c r="G300" s="14">
        <f t="shared" si="58"/>
        <v>444.11172607135438</v>
      </c>
      <c r="H300" s="14">
        <f t="shared" si="60"/>
        <v>-0.47559540881690054</v>
      </c>
      <c r="I300" s="19">
        <f t="shared" si="59"/>
        <v>-1.0708913566053596E-3</v>
      </c>
      <c r="J300" s="14">
        <f t="shared" si="61"/>
        <v>123.80032607135439</v>
      </c>
      <c r="K300" s="14">
        <f t="shared" si="65"/>
        <v>20.964342540367511</v>
      </c>
      <c r="L300" s="14">
        <f t="shared" si="65"/>
        <v>0.32614433901269757</v>
      </c>
      <c r="M300" s="20">
        <f t="shared" si="64"/>
        <v>4.8248915721519472E-2</v>
      </c>
    </row>
    <row r="301" spans="1:13" x14ac:dyDescent="0.25">
      <c r="A301" s="38">
        <v>40449</v>
      </c>
      <c r="B301" s="39">
        <v>2010.74</v>
      </c>
      <c r="C301" s="40">
        <f t="shared" si="55"/>
        <v>7210</v>
      </c>
      <c r="D301" s="39">
        <v>113.6900000000001</v>
      </c>
      <c r="E301" s="20">
        <f t="shared" si="56"/>
        <v>1.6711283140065973E-2</v>
      </c>
      <c r="F301" s="18">
        <f t="shared" si="57"/>
        <v>11.909434076375307</v>
      </c>
      <c r="G301" s="14">
        <f t="shared" si="58"/>
        <v>445.36070686132217</v>
      </c>
      <c r="H301" s="14">
        <f t="shared" si="60"/>
        <v>1.2489807899677885</v>
      </c>
      <c r="I301" s="19">
        <f t="shared" si="59"/>
        <v>2.8044252012486143E-3</v>
      </c>
      <c r="J301" s="14">
        <f t="shared" si="61"/>
        <v>125.04930686132218</v>
      </c>
      <c r="K301" s="14">
        <f t="shared" si="65"/>
        <v>22.213323330335299</v>
      </c>
      <c r="L301" s="14">
        <f t="shared" si="65"/>
        <v>0.3289487642139462</v>
      </c>
      <c r="M301" s="20">
        <f t="shared" si="64"/>
        <v>5.1053340922768087E-2</v>
      </c>
    </row>
    <row r="302" spans="1:13" x14ac:dyDescent="0.25">
      <c r="A302" s="38">
        <v>40456</v>
      </c>
      <c r="B302" s="39">
        <v>2010.76</v>
      </c>
      <c r="C302" s="40">
        <f t="shared" si="55"/>
        <v>7217</v>
      </c>
      <c r="D302" s="39">
        <v>114.1900000000001</v>
      </c>
      <c r="E302" s="20">
        <f t="shared" si="56"/>
        <v>7.9577538762219142E-3</v>
      </c>
      <c r="F302" s="18">
        <f t="shared" si="57"/>
        <v>11.917391830251528</v>
      </c>
      <c r="G302" s="14">
        <f t="shared" si="58"/>
        <v>445.95607603224204</v>
      </c>
      <c r="H302" s="14">
        <f t="shared" si="60"/>
        <v>0.59536917091986652</v>
      </c>
      <c r="I302" s="19">
        <f t="shared" si="59"/>
        <v>1.3350399353608585E-3</v>
      </c>
      <c r="J302" s="14">
        <f t="shared" si="61"/>
        <v>125.64467603224205</v>
      </c>
      <c r="K302" s="14">
        <f t="shared" si="65"/>
        <v>22.808692501255166</v>
      </c>
      <c r="L302" s="14">
        <f t="shared" si="65"/>
        <v>0.33028380414930708</v>
      </c>
      <c r="M302" s="20">
        <f t="shared" si="64"/>
        <v>5.2388380858128948E-2</v>
      </c>
    </row>
    <row r="303" spans="1:13" x14ac:dyDescent="0.25">
      <c r="A303" s="38">
        <v>40463</v>
      </c>
      <c r="B303" s="39">
        <v>2010.779</v>
      </c>
      <c r="C303" s="40">
        <f t="shared" si="55"/>
        <v>7224</v>
      </c>
      <c r="D303" s="39">
        <v>114.29000000000009</v>
      </c>
      <c r="E303" s="20">
        <f t="shared" si="56"/>
        <v>1.5915507752442921E-3</v>
      </c>
      <c r="F303" s="18">
        <f t="shared" si="57"/>
        <v>11.918983381026772</v>
      </c>
      <c r="G303" s="14">
        <f t="shared" si="58"/>
        <v>446.07519758878408</v>
      </c>
      <c r="H303" s="14">
        <f t="shared" si="60"/>
        <v>0.11912155654204071</v>
      </c>
      <c r="I303" s="19">
        <f t="shared" si="59"/>
        <v>2.6704366704524403E-4</v>
      </c>
      <c r="J303" s="14">
        <f t="shared" si="61"/>
        <v>125.76379758878409</v>
      </c>
      <c r="K303" s="14">
        <f t="shared" ref="K303:L318" si="66">H303+K302</f>
        <v>22.927814057797207</v>
      </c>
      <c r="L303" s="14">
        <f t="shared" si="66"/>
        <v>0.3305508478163523</v>
      </c>
      <c r="M303" s="20">
        <f t="shared" si="64"/>
        <v>5.2655424525174195E-2</v>
      </c>
    </row>
    <row r="304" spans="1:13" x14ac:dyDescent="0.25">
      <c r="A304" s="38">
        <v>40470</v>
      </c>
      <c r="B304" s="39">
        <v>2010.798</v>
      </c>
      <c r="C304" s="40">
        <f t="shared" si="55"/>
        <v>7231</v>
      </c>
      <c r="D304" s="39">
        <v>114.29000000000009</v>
      </c>
      <c r="E304" s="20">
        <f t="shared" si="56"/>
        <v>0</v>
      </c>
      <c r="F304" s="18">
        <f t="shared" si="57"/>
        <v>11.918983381026772</v>
      </c>
      <c r="G304" s="14">
        <f t="shared" si="58"/>
        <v>446.07519758878408</v>
      </c>
      <c r="H304" s="14">
        <f t="shared" si="60"/>
        <v>0</v>
      </c>
      <c r="I304" s="19">
        <f t="shared" si="59"/>
        <v>0</v>
      </c>
      <c r="J304" s="14">
        <f t="shared" si="61"/>
        <v>125.76379758878409</v>
      </c>
      <c r="K304" s="14">
        <f t="shared" si="66"/>
        <v>22.927814057797207</v>
      </c>
      <c r="L304" s="14">
        <f t="shared" si="66"/>
        <v>0.3305508478163523</v>
      </c>
      <c r="M304" s="20">
        <f t="shared" si="64"/>
        <v>5.2655424525174195E-2</v>
      </c>
    </row>
    <row r="305" spans="1:13" x14ac:dyDescent="0.25">
      <c r="A305" s="38">
        <v>40477</v>
      </c>
      <c r="B305" s="39">
        <v>2010.817</v>
      </c>
      <c r="C305" s="40">
        <f t="shared" si="55"/>
        <v>7238</v>
      </c>
      <c r="D305" s="39">
        <v>114.99000000000009</v>
      </c>
      <c r="E305" s="20">
        <f t="shared" si="56"/>
        <v>1.1140855426710724E-2</v>
      </c>
      <c r="F305" s="18">
        <f t="shared" si="57"/>
        <v>11.930124236453482</v>
      </c>
      <c r="G305" s="14">
        <f t="shared" si="58"/>
        <v>446.90949389325442</v>
      </c>
      <c r="H305" s="14">
        <f t="shared" si="60"/>
        <v>0.83429630447034242</v>
      </c>
      <c r="I305" s="19">
        <f t="shared" si="59"/>
        <v>1.8668126675993517E-3</v>
      </c>
      <c r="J305" s="14">
        <f t="shared" si="61"/>
        <v>126.59809389325443</v>
      </c>
      <c r="K305" s="14">
        <f t="shared" si="66"/>
        <v>23.762110362267549</v>
      </c>
      <c r="L305" s="14">
        <f t="shared" si="66"/>
        <v>0.33241766048395166</v>
      </c>
      <c r="M305" s="20">
        <f t="shared" si="64"/>
        <v>5.4522237192773548E-2</v>
      </c>
    </row>
    <row r="306" spans="1:13" x14ac:dyDescent="0.25">
      <c r="A306" s="38">
        <v>40484</v>
      </c>
      <c r="B306" s="39">
        <v>2010.836</v>
      </c>
      <c r="C306" s="40">
        <f t="shared" si="55"/>
        <v>7245</v>
      </c>
      <c r="D306" s="39">
        <v>115.09000000000009</v>
      </c>
      <c r="E306" s="20">
        <f t="shared" si="56"/>
        <v>1.5915507752442921E-3</v>
      </c>
      <c r="F306" s="18">
        <f t="shared" si="57"/>
        <v>11.931715787228725</v>
      </c>
      <c r="G306" s="14">
        <f t="shared" si="58"/>
        <v>447.02874270941805</v>
      </c>
      <c r="H306" s="14">
        <f t="shared" si="60"/>
        <v>0.11924881616363336</v>
      </c>
      <c r="I306" s="19">
        <f t="shared" si="59"/>
        <v>2.6675872213690883E-4</v>
      </c>
      <c r="J306" s="14">
        <f t="shared" si="61"/>
        <v>126.71734270941806</v>
      </c>
      <c r="K306" s="14">
        <f t="shared" si="66"/>
        <v>23.881359178431182</v>
      </c>
      <c r="L306" s="14">
        <f t="shared" si="66"/>
        <v>0.33268441920608854</v>
      </c>
      <c r="M306" s="20">
        <f t="shared" si="64"/>
        <v>5.478899591491046E-2</v>
      </c>
    </row>
    <row r="307" spans="1:13" x14ac:dyDescent="0.25">
      <c r="A307" s="41">
        <v>40491</v>
      </c>
      <c r="B307">
        <v>2010.855</v>
      </c>
      <c r="C307" s="40">
        <f t="shared" si="55"/>
        <v>7252</v>
      </c>
      <c r="D307">
        <v>114.99</v>
      </c>
      <c r="E307" s="20">
        <f t="shared" si="56"/>
        <v>-1.5915507752458755E-3</v>
      </c>
      <c r="F307" s="18">
        <f t="shared" si="57"/>
        <v>11.93012423645348</v>
      </c>
      <c r="G307" s="14">
        <f t="shared" si="58"/>
        <v>446.90949389325431</v>
      </c>
      <c r="H307" s="14">
        <f t="shared" si="60"/>
        <v>-0.11924881616374705</v>
      </c>
      <c r="I307" s="19">
        <f t="shared" si="59"/>
        <v>-2.6682990134067278E-4</v>
      </c>
      <c r="J307" s="14">
        <f t="shared" si="61"/>
        <v>126.59809389325432</v>
      </c>
      <c r="K307" s="14">
        <f t="shared" si="66"/>
        <v>23.762110362267435</v>
      </c>
      <c r="L307" s="14">
        <f t="shared" si="66"/>
        <v>0.33241758930474785</v>
      </c>
      <c r="M307" s="20">
        <f t="shared" si="64"/>
        <v>5.4522166013569788E-2</v>
      </c>
    </row>
    <row r="308" spans="1:13" x14ac:dyDescent="0.25">
      <c r="A308" s="41">
        <v>40505</v>
      </c>
      <c r="B308">
        <v>2010.893</v>
      </c>
      <c r="C308" s="40">
        <f t="shared" si="55"/>
        <v>7266</v>
      </c>
      <c r="D308">
        <v>115.09</v>
      </c>
      <c r="E308" s="20">
        <f t="shared" si="56"/>
        <v>1.5915507752445183E-3</v>
      </c>
      <c r="F308" s="18">
        <f t="shared" si="57"/>
        <v>11.931715787228725</v>
      </c>
      <c r="G308" s="14">
        <f t="shared" si="58"/>
        <v>447.02874270941805</v>
      </c>
      <c r="H308" s="14">
        <f t="shared" si="60"/>
        <v>0.11924881616374705</v>
      </c>
      <c r="I308" s="19">
        <f t="shared" si="59"/>
        <v>2.6675872213716313E-4</v>
      </c>
      <c r="J308" s="14">
        <f t="shared" si="61"/>
        <v>126.71734270941806</v>
      </c>
      <c r="K308" s="14">
        <f t="shared" si="66"/>
        <v>23.881359178431182</v>
      </c>
      <c r="L308" s="14">
        <f t="shared" si="66"/>
        <v>0.33268434802688501</v>
      </c>
      <c r="M308" s="20">
        <f t="shared" si="64"/>
        <v>5.4788924735706949E-2</v>
      </c>
    </row>
    <row r="309" spans="1:13" x14ac:dyDescent="0.25">
      <c r="A309" s="41">
        <v>40533</v>
      </c>
      <c r="B309">
        <v>2010.97</v>
      </c>
      <c r="C309" s="40">
        <f t="shared" si="55"/>
        <v>7294</v>
      </c>
      <c r="D309">
        <v>114.99</v>
      </c>
      <c r="E309" s="20">
        <f t="shared" si="56"/>
        <v>-1.5915507752445183E-3</v>
      </c>
      <c r="F309" s="18">
        <f t="shared" si="57"/>
        <v>11.93012423645348</v>
      </c>
      <c r="G309" s="14">
        <f t="shared" si="58"/>
        <v>446.90949389325431</v>
      </c>
      <c r="H309" s="14">
        <f t="shared" si="60"/>
        <v>-0.11924881616374705</v>
      </c>
      <c r="I309" s="19">
        <f t="shared" si="59"/>
        <v>-2.6682990134067278E-4</v>
      </c>
      <c r="J309" s="14">
        <f t="shared" si="61"/>
        <v>126.59809389325432</v>
      </c>
      <c r="K309" s="14">
        <f t="shared" si="66"/>
        <v>23.762110362267435</v>
      </c>
      <c r="L309" s="14">
        <f t="shared" si="66"/>
        <v>0.33241751812554432</v>
      </c>
      <c r="M309" s="20">
        <f t="shared" si="64"/>
        <v>5.4522094834366278E-2</v>
      </c>
    </row>
    <row r="310" spans="1:13" x14ac:dyDescent="0.25">
      <c r="A310" s="41">
        <v>40547</v>
      </c>
      <c r="B310">
        <v>2011.011</v>
      </c>
      <c r="C310" s="40">
        <f t="shared" si="55"/>
        <v>7308</v>
      </c>
      <c r="D310">
        <v>114.99</v>
      </c>
      <c r="E310" s="20">
        <f t="shared" si="56"/>
        <v>0</v>
      </c>
      <c r="F310" s="18">
        <f t="shared" si="57"/>
        <v>11.93012423645348</v>
      </c>
      <c r="G310" s="14">
        <f t="shared" si="58"/>
        <v>446.90949389325431</v>
      </c>
      <c r="H310" s="14">
        <f t="shared" si="60"/>
        <v>0</v>
      </c>
      <c r="I310" s="19">
        <f t="shared" si="59"/>
        <v>0</v>
      </c>
      <c r="J310" s="14">
        <f t="shared" si="61"/>
        <v>126.59809389325432</v>
      </c>
      <c r="K310" s="14">
        <f>H310</f>
        <v>0</v>
      </c>
      <c r="L310" s="14">
        <f t="shared" si="66"/>
        <v>0.33241751812554432</v>
      </c>
      <c r="M310" s="20">
        <f>I310</f>
        <v>0</v>
      </c>
    </row>
    <row r="311" spans="1:13" x14ac:dyDescent="0.25">
      <c r="A311" s="41">
        <v>40561</v>
      </c>
      <c r="B311">
        <v>2011.049</v>
      </c>
      <c r="C311" s="40">
        <f t="shared" si="55"/>
        <v>7322</v>
      </c>
      <c r="D311">
        <v>114.99</v>
      </c>
      <c r="E311" s="20">
        <f t="shared" si="56"/>
        <v>0</v>
      </c>
      <c r="F311" s="18">
        <f t="shared" si="57"/>
        <v>11.93012423645348</v>
      </c>
      <c r="G311" s="14">
        <f t="shared" si="58"/>
        <v>446.90949389325431</v>
      </c>
      <c r="H311" s="14">
        <f t="shared" si="60"/>
        <v>0</v>
      </c>
      <c r="I311" s="19">
        <f t="shared" si="59"/>
        <v>0</v>
      </c>
      <c r="J311" s="14">
        <f t="shared" si="61"/>
        <v>126.59809389325432</v>
      </c>
      <c r="K311" s="14">
        <f t="shared" ref="K311:L326" si="67">H311+K310</f>
        <v>0</v>
      </c>
      <c r="L311" s="14">
        <f t="shared" si="66"/>
        <v>0.33241751812554432</v>
      </c>
      <c r="M311" s="20">
        <f t="shared" ref="M311:M346" si="68">I311+M310</f>
        <v>0</v>
      </c>
    </row>
    <row r="312" spans="1:13" x14ac:dyDescent="0.25">
      <c r="A312" s="41">
        <v>40589</v>
      </c>
      <c r="B312">
        <v>2011.126</v>
      </c>
      <c r="C312" s="40">
        <f t="shared" si="55"/>
        <v>7350</v>
      </c>
      <c r="D312">
        <v>115.09</v>
      </c>
      <c r="E312" s="20">
        <f t="shared" si="56"/>
        <v>1.5915507752445183E-3</v>
      </c>
      <c r="F312" s="18">
        <f t="shared" si="57"/>
        <v>11.931715787228725</v>
      </c>
      <c r="G312" s="14">
        <f t="shared" si="58"/>
        <v>447.02874270941805</v>
      </c>
      <c r="H312" s="14">
        <f t="shared" si="60"/>
        <v>0.11924881616374705</v>
      </c>
      <c r="I312" s="19">
        <f t="shared" si="59"/>
        <v>2.6675872213716313E-4</v>
      </c>
      <c r="J312" s="14">
        <f t="shared" si="61"/>
        <v>126.71734270941806</v>
      </c>
      <c r="K312" s="14">
        <f t="shared" si="67"/>
        <v>0.11924881616374705</v>
      </c>
      <c r="L312" s="14">
        <f t="shared" si="66"/>
        <v>0.33268427684768148</v>
      </c>
      <c r="M312" s="20">
        <f t="shared" si="68"/>
        <v>2.6675872213716313E-4</v>
      </c>
    </row>
    <row r="313" spans="1:13" x14ac:dyDescent="0.25">
      <c r="A313" s="41">
        <v>40603</v>
      </c>
      <c r="B313">
        <v>2011.164</v>
      </c>
      <c r="C313" s="40">
        <f t="shared" si="55"/>
        <v>7364</v>
      </c>
      <c r="D313">
        <v>115.09</v>
      </c>
      <c r="E313" s="20">
        <f t="shared" si="56"/>
        <v>0</v>
      </c>
      <c r="F313" s="18">
        <f t="shared" si="57"/>
        <v>11.931715787228725</v>
      </c>
      <c r="G313" s="14">
        <f t="shared" si="58"/>
        <v>447.02874270941805</v>
      </c>
      <c r="H313" s="14">
        <f t="shared" si="60"/>
        <v>0</v>
      </c>
      <c r="I313" s="19">
        <f t="shared" si="59"/>
        <v>0</v>
      </c>
      <c r="J313" s="14">
        <f t="shared" si="61"/>
        <v>126.71734270941806</v>
      </c>
      <c r="K313" s="14">
        <f t="shared" si="67"/>
        <v>0.11924881616374705</v>
      </c>
      <c r="L313" s="14">
        <f t="shared" si="66"/>
        <v>0.33268427684768148</v>
      </c>
      <c r="M313" s="20">
        <f t="shared" si="68"/>
        <v>2.6675872213716313E-4</v>
      </c>
    </row>
    <row r="314" spans="1:13" x14ac:dyDescent="0.25">
      <c r="A314" s="41">
        <v>40617</v>
      </c>
      <c r="B314">
        <v>2011.202</v>
      </c>
      <c r="C314" s="40">
        <f t="shared" si="55"/>
        <v>7378</v>
      </c>
      <c r="D314">
        <v>115.09</v>
      </c>
      <c r="E314" s="20">
        <f t="shared" si="56"/>
        <v>0</v>
      </c>
      <c r="F314" s="18">
        <f t="shared" si="57"/>
        <v>11.931715787228725</v>
      </c>
      <c r="G314" s="14">
        <f t="shared" si="58"/>
        <v>447.02874270941805</v>
      </c>
      <c r="H314" s="14">
        <f t="shared" si="60"/>
        <v>0</v>
      </c>
      <c r="I314" s="19">
        <f t="shared" si="59"/>
        <v>0</v>
      </c>
      <c r="J314" s="14">
        <f t="shared" si="61"/>
        <v>126.71734270941806</v>
      </c>
      <c r="K314" s="14">
        <f t="shared" si="67"/>
        <v>0.11924881616374705</v>
      </c>
      <c r="L314" s="14">
        <f t="shared" si="66"/>
        <v>0.33268427684768148</v>
      </c>
      <c r="M314" s="20">
        <f t="shared" si="68"/>
        <v>2.6675872213716313E-4</v>
      </c>
    </row>
    <row r="315" spans="1:13" x14ac:dyDescent="0.25">
      <c r="A315" s="41">
        <v>40631</v>
      </c>
      <c r="B315">
        <v>2011.24</v>
      </c>
      <c r="C315" s="40">
        <f t="shared" si="55"/>
        <v>7392</v>
      </c>
      <c r="D315">
        <v>115.09</v>
      </c>
      <c r="E315" s="20">
        <f t="shared" si="56"/>
        <v>0</v>
      </c>
      <c r="F315" s="18">
        <f t="shared" si="57"/>
        <v>11.931715787228725</v>
      </c>
      <c r="G315" s="14">
        <f t="shared" si="58"/>
        <v>447.02874270941805</v>
      </c>
      <c r="H315" s="14">
        <f t="shared" si="60"/>
        <v>0</v>
      </c>
      <c r="I315" s="19">
        <f t="shared" si="59"/>
        <v>0</v>
      </c>
      <c r="J315" s="14">
        <f t="shared" si="61"/>
        <v>126.71734270941806</v>
      </c>
      <c r="K315" s="14">
        <f t="shared" si="67"/>
        <v>0.11924881616374705</v>
      </c>
      <c r="L315" s="14">
        <f t="shared" si="66"/>
        <v>0.33268427684768148</v>
      </c>
      <c r="M315" s="20">
        <f t="shared" si="68"/>
        <v>2.6675872213716313E-4</v>
      </c>
    </row>
    <row r="316" spans="1:13" x14ac:dyDescent="0.25">
      <c r="A316" s="41">
        <v>40638</v>
      </c>
      <c r="B316">
        <v>2011.26</v>
      </c>
      <c r="C316" s="40">
        <f t="shared" si="55"/>
        <v>7399</v>
      </c>
      <c r="D316">
        <v>115.39</v>
      </c>
      <c r="E316" s="20">
        <f t="shared" si="56"/>
        <v>4.7746523257331027E-3</v>
      </c>
      <c r="F316" s="18">
        <f t="shared" si="57"/>
        <v>11.936490439554458</v>
      </c>
      <c r="G316" s="14">
        <f t="shared" si="58"/>
        <v>447.38658460262542</v>
      </c>
      <c r="H316" s="14">
        <f t="shared" si="60"/>
        <v>0.35784189320736459</v>
      </c>
      <c r="I316" s="19">
        <f t="shared" si="59"/>
        <v>7.9984940434725917E-4</v>
      </c>
      <c r="J316" s="14">
        <f t="shared" si="61"/>
        <v>127.07518460262543</v>
      </c>
      <c r="K316" s="14">
        <f t="shared" si="67"/>
        <v>0.47709070937111164</v>
      </c>
      <c r="L316" s="14">
        <f t="shared" si="66"/>
        <v>0.33348412625202872</v>
      </c>
      <c r="M316" s="20">
        <f t="shared" si="68"/>
        <v>1.0666081264844223E-3</v>
      </c>
    </row>
    <row r="317" spans="1:13" x14ac:dyDescent="0.25">
      <c r="A317" s="41">
        <v>40645</v>
      </c>
      <c r="B317">
        <v>2011.279</v>
      </c>
      <c r="C317" s="40">
        <f t="shared" si="55"/>
        <v>7406</v>
      </c>
      <c r="D317">
        <v>115.89</v>
      </c>
      <c r="E317" s="20">
        <f t="shared" si="56"/>
        <v>7.9577538762219142E-3</v>
      </c>
      <c r="F317" s="18">
        <f t="shared" si="57"/>
        <v>11.944448193430679</v>
      </c>
      <c r="G317" s="14">
        <f t="shared" si="58"/>
        <v>447.98330590702517</v>
      </c>
      <c r="H317" s="14">
        <f t="shared" si="60"/>
        <v>0.59672130439975035</v>
      </c>
      <c r="I317" s="19">
        <f t="shared" si="59"/>
        <v>1.3320168330638517E-3</v>
      </c>
      <c r="J317" s="14">
        <f t="shared" si="61"/>
        <v>127.67190590702518</v>
      </c>
      <c r="K317" s="14">
        <f t="shared" si="67"/>
        <v>1.073812013770862</v>
      </c>
      <c r="L317" s="14">
        <f t="shared" si="66"/>
        <v>0.33481614308509255</v>
      </c>
      <c r="M317" s="20">
        <f t="shared" si="68"/>
        <v>2.398624959548274E-3</v>
      </c>
    </row>
    <row r="318" spans="1:13" x14ac:dyDescent="0.25">
      <c r="A318" s="41">
        <v>40652</v>
      </c>
      <c r="B318">
        <v>2011.298</v>
      </c>
      <c r="C318" s="40">
        <f t="shared" si="55"/>
        <v>7413</v>
      </c>
      <c r="D318">
        <v>117.19</v>
      </c>
      <c r="E318" s="20">
        <f t="shared" si="56"/>
        <v>2.0690160078176933E-2</v>
      </c>
      <c r="F318" s="18">
        <f t="shared" si="57"/>
        <v>11.965138353508856</v>
      </c>
      <c r="G318" s="14">
        <f t="shared" si="58"/>
        <v>449.53664247043105</v>
      </c>
      <c r="H318" s="14">
        <f t="shared" si="60"/>
        <v>1.5533365634058782</v>
      </c>
      <c r="I318" s="19">
        <f t="shared" si="59"/>
        <v>3.4554170153282917E-3</v>
      </c>
      <c r="J318" s="14">
        <f t="shared" si="61"/>
        <v>129.22524247043106</v>
      </c>
      <c r="K318" s="14">
        <f t="shared" si="67"/>
        <v>2.6271485771767402</v>
      </c>
      <c r="L318" s="14">
        <f t="shared" si="66"/>
        <v>0.33827156010042086</v>
      </c>
      <c r="M318" s="20">
        <f t="shared" si="68"/>
        <v>5.8540419748765657E-3</v>
      </c>
    </row>
    <row r="319" spans="1:13" x14ac:dyDescent="0.25">
      <c r="A319" s="41">
        <v>40660</v>
      </c>
      <c r="B319">
        <v>2011.32</v>
      </c>
      <c r="C319" s="40">
        <f t="shared" si="55"/>
        <v>7421</v>
      </c>
      <c r="D319">
        <v>117.89</v>
      </c>
      <c r="E319" s="20">
        <f t="shared" si="56"/>
        <v>1.1140855426710724E-2</v>
      </c>
      <c r="F319" s="18">
        <f t="shared" si="57"/>
        <v>11.976279208935566</v>
      </c>
      <c r="G319" s="14">
        <f t="shared" si="58"/>
        <v>450.37416798780049</v>
      </c>
      <c r="H319" s="14">
        <f t="shared" si="60"/>
        <v>0.8375255173694427</v>
      </c>
      <c r="I319" s="19">
        <f t="shared" si="59"/>
        <v>1.8596215700189295E-3</v>
      </c>
      <c r="J319" s="14">
        <f t="shared" si="61"/>
        <v>130.0627679878005</v>
      </c>
      <c r="K319" s="14">
        <f t="shared" si="67"/>
        <v>3.4646740945461829</v>
      </c>
      <c r="L319" s="14">
        <f t="shared" si="67"/>
        <v>0.34013118167043982</v>
      </c>
      <c r="M319" s="20">
        <f t="shared" si="68"/>
        <v>7.713663544895495E-3</v>
      </c>
    </row>
    <row r="320" spans="1:13" x14ac:dyDescent="0.25">
      <c r="A320" s="41">
        <v>40666</v>
      </c>
      <c r="B320">
        <v>2011.336</v>
      </c>
      <c r="C320" s="40">
        <f t="shared" si="55"/>
        <v>7427</v>
      </c>
      <c r="D320">
        <v>118.29</v>
      </c>
      <c r="E320" s="20">
        <f t="shared" si="56"/>
        <v>6.3662031009776212E-3</v>
      </c>
      <c r="F320" s="18">
        <f t="shared" si="57"/>
        <v>11.982645412036543</v>
      </c>
      <c r="G320" s="14">
        <f t="shared" si="58"/>
        <v>450.85310396168535</v>
      </c>
      <c r="H320" s="14">
        <f t="shared" si="60"/>
        <v>0.47893597388485887</v>
      </c>
      <c r="I320" s="19">
        <f t="shared" si="59"/>
        <v>1.062288292298327E-3</v>
      </c>
      <c r="J320" s="14">
        <f t="shared" si="61"/>
        <v>130.54170396168536</v>
      </c>
      <c r="K320" s="14">
        <f t="shared" si="67"/>
        <v>3.9436100684310418</v>
      </c>
      <c r="L320" s="14">
        <f t="shared" si="67"/>
        <v>0.34119346996273814</v>
      </c>
      <c r="M320" s="20">
        <f t="shared" si="68"/>
        <v>8.7759518371938218E-3</v>
      </c>
    </row>
    <row r="321" spans="1:13" x14ac:dyDescent="0.25">
      <c r="A321" s="41">
        <v>40673</v>
      </c>
      <c r="B321">
        <v>2011.355</v>
      </c>
      <c r="C321" s="40">
        <f t="shared" si="55"/>
        <v>7434</v>
      </c>
      <c r="D321">
        <v>118.39</v>
      </c>
      <c r="E321" s="20">
        <f t="shared" si="56"/>
        <v>1.5915507752442921E-3</v>
      </c>
      <c r="F321" s="18">
        <f t="shared" si="57"/>
        <v>11.984236962811787</v>
      </c>
      <c r="G321" s="14">
        <f t="shared" si="58"/>
        <v>450.9728777237882</v>
      </c>
      <c r="H321" s="14">
        <f t="shared" si="60"/>
        <v>0.11977376210285229</v>
      </c>
      <c r="I321" s="19">
        <f t="shared" si="59"/>
        <v>2.6558972394834641E-4</v>
      </c>
      <c r="J321" s="14">
        <f t="shared" si="61"/>
        <v>130.66147772378821</v>
      </c>
      <c r="K321" s="14">
        <f t="shared" si="67"/>
        <v>4.0633838305338941</v>
      </c>
      <c r="L321" s="14">
        <f t="shared" si="67"/>
        <v>0.34145905968668649</v>
      </c>
      <c r="M321" s="20">
        <f t="shared" si="68"/>
        <v>9.0415415611421676E-3</v>
      </c>
    </row>
    <row r="322" spans="1:13" x14ac:dyDescent="0.25">
      <c r="A322" s="41">
        <v>40680</v>
      </c>
      <c r="B322">
        <v>2011.374</v>
      </c>
      <c r="C322" s="40">
        <f t="shared" ref="C322:C385" si="69">A322-33239</f>
        <v>7441</v>
      </c>
      <c r="D322">
        <v>118.29</v>
      </c>
      <c r="E322" s="20">
        <f t="shared" si="56"/>
        <v>-1.5915507752442921E-3</v>
      </c>
      <c r="F322" s="18">
        <f t="shared" si="57"/>
        <v>11.982645412036543</v>
      </c>
      <c r="G322" s="14">
        <f t="shared" si="58"/>
        <v>450.85310396168535</v>
      </c>
      <c r="H322" s="14">
        <f t="shared" si="60"/>
        <v>-0.11977376210285229</v>
      </c>
      <c r="I322" s="19">
        <f t="shared" si="59"/>
        <v>-2.6566028058893205E-4</v>
      </c>
      <c r="J322" s="14">
        <f t="shared" si="61"/>
        <v>130.54170396168536</v>
      </c>
      <c r="K322" s="14">
        <f t="shared" si="67"/>
        <v>3.9436100684310418</v>
      </c>
      <c r="L322" s="14">
        <f t="shared" si="67"/>
        <v>0.34119339940609755</v>
      </c>
      <c r="M322" s="20">
        <f t="shared" si="68"/>
        <v>8.7758812805532362E-3</v>
      </c>
    </row>
    <row r="323" spans="1:13" x14ac:dyDescent="0.25">
      <c r="A323" s="41">
        <v>40687</v>
      </c>
      <c r="B323">
        <v>2011.393</v>
      </c>
      <c r="C323" s="40">
        <f t="shared" si="69"/>
        <v>7448</v>
      </c>
      <c r="D323">
        <v>118.29</v>
      </c>
      <c r="E323" s="20">
        <f t="shared" ref="E323:E386" si="70">((D323-D322)/10)/(2*3.14159)</f>
        <v>0</v>
      </c>
      <c r="F323" s="18">
        <f t="shared" ref="F323:F386" si="71">E323+F322</f>
        <v>11.982645412036543</v>
      </c>
      <c r="G323" s="14">
        <f t="shared" ref="G323:G386" si="72">3.14*(F323^2)</f>
        <v>450.85310396168535</v>
      </c>
      <c r="H323" s="14">
        <f t="shared" si="60"/>
        <v>0</v>
      </c>
      <c r="I323" s="19">
        <f t="shared" ref="I323:I386" si="73">H323/G323</f>
        <v>0</v>
      </c>
      <c r="J323" s="14">
        <f t="shared" si="61"/>
        <v>130.54170396168536</v>
      </c>
      <c r="K323" s="14">
        <f t="shared" si="67"/>
        <v>3.9436100684310418</v>
      </c>
      <c r="L323" s="14">
        <f t="shared" si="67"/>
        <v>0.34119339940609755</v>
      </c>
      <c r="M323" s="20">
        <f t="shared" si="68"/>
        <v>8.7758812805532362E-3</v>
      </c>
    </row>
    <row r="324" spans="1:13" x14ac:dyDescent="0.25">
      <c r="A324" s="41">
        <v>40695</v>
      </c>
      <c r="B324">
        <v>2011.415</v>
      </c>
      <c r="C324" s="40">
        <f t="shared" si="69"/>
        <v>7456</v>
      </c>
      <c r="D324">
        <v>118.49</v>
      </c>
      <c r="E324" s="20">
        <f t="shared" si="70"/>
        <v>3.1831015504885842E-3</v>
      </c>
      <c r="F324" s="18">
        <f t="shared" si="71"/>
        <v>11.985828513587032</v>
      </c>
      <c r="G324" s="14">
        <f t="shared" si="72"/>
        <v>451.09266739334402</v>
      </c>
      <c r="H324" s="14">
        <f t="shared" ref="H324:H387" si="74">G324-G323</f>
        <v>0.23956343165866656</v>
      </c>
      <c r="I324" s="19">
        <f t="shared" si="73"/>
        <v>5.3107365509395864E-4</v>
      </c>
      <c r="J324" s="14">
        <f t="shared" ref="J324:J387" si="75">H324+J323</f>
        <v>130.78126739334402</v>
      </c>
      <c r="K324" s="14">
        <f t="shared" si="67"/>
        <v>4.1831735000897083</v>
      </c>
      <c r="L324" s="14">
        <f t="shared" si="67"/>
        <v>0.34172447306119152</v>
      </c>
      <c r="M324" s="20">
        <f t="shared" si="68"/>
        <v>9.3069549356471944E-3</v>
      </c>
    </row>
    <row r="325" spans="1:13" x14ac:dyDescent="0.25">
      <c r="A325" s="41">
        <v>40701</v>
      </c>
      <c r="B325">
        <v>2011.432</v>
      </c>
      <c r="C325" s="40">
        <f t="shared" si="69"/>
        <v>7462</v>
      </c>
      <c r="D325">
        <v>118.89</v>
      </c>
      <c r="E325" s="20">
        <f t="shared" si="70"/>
        <v>6.3662031009776212E-3</v>
      </c>
      <c r="F325" s="18">
        <f t="shared" si="71"/>
        <v>11.99219471668801</v>
      </c>
      <c r="G325" s="14">
        <f t="shared" si="72"/>
        <v>451.57198514609388</v>
      </c>
      <c r="H325" s="14">
        <f t="shared" si="74"/>
        <v>0.47931775274986421</v>
      </c>
      <c r="I325" s="19">
        <f t="shared" si="73"/>
        <v>1.0614426238040296E-3</v>
      </c>
      <c r="J325" s="14">
        <f t="shared" si="75"/>
        <v>131.26058514609389</v>
      </c>
      <c r="K325" s="14">
        <f t="shared" si="67"/>
        <v>4.6624912528395726</v>
      </c>
      <c r="L325" s="14">
        <f t="shared" si="67"/>
        <v>0.34278591568499556</v>
      </c>
      <c r="M325" s="20">
        <f t="shared" si="68"/>
        <v>1.0368397559451225E-2</v>
      </c>
    </row>
    <row r="326" spans="1:13" x14ac:dyDescent="0.25">
      <c r="A326" s="41">
        <v>40708</v>
      </c>
      <c r="B326">
        <v>2011.451</v>
      </c>
      <c r="C326" s="40">
        <f t="shared" si="69"/>
        <v>7469</v>
      </c>
      <c r="D326">
        <v>118.89</v>
      </c>
      <c r="E326" s="20">
        <f t="shared" si="70"/>
        <v>0</v>
      </c>
      <c r="F326" s="18">
        <f t="shared" si="71"/>
        <v>11.99219471668801</v>
      </c>
      <c r="G326" s="14">
        <f t="shared" si="72"/>
        <v>451.57198514609388</v>
      </c>
      <c r="H326" s="14">
        <f t="shared" si="74"/>
        <v>0</v>
      </c>
      <c r="I326" s="19">
        <f t="shared" si="73"/>
        <v>0</v>
      </c>
      <c r="J326" s="14">
        <f t="shared" si="75"/>
        <v>131.26058514609389</v>
      </c>
      <c r="K326" s="14">
        <f t="shared" si="67"/>
        <v>4.6624912528395726</v>
      </c>
      <c r="L326" s="14">
        <f t="shared" si="67"/>
        <v>0.34278591568499556</v>
      </c>
      <c r="M326" s="20">
        <f t="shared" si="68"/>
        <v>1.0368397559451225E-2</v>
      </c>
    </row>
    <row r="327" spans="1:13" x14ac:dyDescent="0.25">
      <c r="A327" s="41">
        <v>40715</v>
      </c>
      <c r="B327">
        <v>2011.47</v>
      </c>
      <c r="C327" s="40">
        <f t="shared" si="69"/>
        <v>7476</v>
      </c>
      <c r="D327">
        <v>118.99</v>
      </c>
      <c r="E327" s="20">
        <f t="shared" si="70"/>
        <v>1.5915507752442921E-3</v>
      </c>
      <c r="F327" s="18">
        <f t="shared" si="71"/>
        <v>11.993786267463253</v>
      </c>
      <c r="G327" s="14">
        <f t="shared" si="72"/>
        <v>451.69185435291303</v>
      </c>
      <c r="H327" s="14">
        <f t="shared" si="74"/>
        <v>0.11986920681914626</v>
      </c>
      <c r="I327" s="19">
        <f t="shared" si="73"/>
        <v>2.6537827871806342E-4</v>
      </c>
      <c r="J327" s="14">
        <f t="shared" si="75"/>
        <v>131.38045435291303</v>
      </c>
      <c r="K327" s="14">
        <f t="shared" ref="K327:L342" si="76">H327+K326</f>
        <v>4.7823604596587188</v>
      </c>
      <c r="L327" s="14">
        <f t="shared" si="76"/>
        <v>0.34305129396371364</v>
      </c>
      <c r="M327" s="20">
        <f t="shared" si="68"/>
        <v>1.0633775838169287E-2</v>
      </c>
    </row>
    <row r="328" spans="1:13" x14ac:dyDescent="0.25">
      <c r="A328" s="41">
        <v>40745</v>
      </c>
      <c r="B328">
        <v>2011.5519999999999</v>
      </c>
      <c r="C328" s="40">
        <f t="shared" si="69"/>
        <v>7506</v>
      </c>
      <c r="D328">
        <v>120.99</v>
      </c>
      <c r="E328" s="20">
        <f t="shared" si="70"/>
        <v>3.1831015504887657E-2</v>
      </c>
      <c r="F328" s="18">
        <f t="shared" si="71"/>
        <v>12.025617282968142</v>
      </c>
      <c r="G328" s="14">
        <f t="shared" si="72"/>
        <v>454.09257905436527</v>
      </c>
      <c r="H328" s="14">
        <f t="shared" si="74"/>
        <v>2.4007247014522477</v>
      </c>
      <c r="I328" s="19">
        <f t="shared" si="73"/>
        <v>5.286861781471276E-3</v>
      </c>
      <c r="J328" s="14">
        <f t="shared" si="75"/>
        <v>133.78117905436528</v>
      </c>
      <c r="K328" s="14">
        <f t="shared" si="76"/>
        <v>7.1830851611109665</v>
      </c>
      <c r="L328" s="14">
        <f t="shared" si="76"/>
        <v>0.3483381557451849</v>
      </c>
      <c r="M328" s="20">
        <f t="shared" si="68"/>
        <v>1.5920637619640562E-2</v>
      </c>
    </row>
    <row r="329" spans="1:13" x14ac:dyDescent="0.25">
      <c r="A329" s="41">
        <v>40751</v>
      </c>
      <c r="B329">
        <v>2011.568</v>
      </c>
      <c r="C329" s="40">
        <f t="shared" si="69"/>
        <v>7512</v>
      </c>
      <c r="D329">
        <v>121.69</v>
      </c>
      <c r="E329" s="20">
        <f t="shared" si="70"/>
        <v>1.1140855426710724E-2</v>
      </c>
      <c r="F329" s="18">
        <f t="shared" si="71"/>
        <v>12.036758138394852</v>
      </c>
      <c r="G329" s="14">
        <f t="shared" si="72"/>
        <v>454.93433595415422</v>
      </c>
      <c r="H329" s="14">
        <f t="shared" si="74"/>
        <v>0.84175689978894752</v>
      </c>
      <c r="I329" s="19">
        <f t="shared" si="73"/>
        <v>1.8502821907770337E-3</v>
      </c>
      <c r="J329" s="14">
        <f t="shared" si="75"/>
        <v>134.62293595415423</v>
      </c>
      <c r="K329" s="14">
        <f t="shared" si="76"/>
        <v>8.024842060899914</v>
      </c>
      <c r="L329" s="14">
        <f t="shared" si="76"/>
        <v>0.35018843793596194</v>
      </c>
      <c r="M329" s="20">
        <f t="shared" si="68"/>
        <v>1.7770919810417597E-2</v>
      </c>
    </row>
    <row r="330" spans="1:13" x14ac:dyDescent="0.25">
      <c r="A330" s="41">
        <v>40757</v>
      </c>
      <c r="B330">
        <v>2011.585</v>
      </c>
      <c r="C330" s="40">
        <f t="shared" si="69"/>
        <v>7518</v>
      </c>
      <c r="D330">
        <v>121.69</v>
      </c>
      <c r="E330" s="20">
        <f t="shared" si="70"/>
        <v>0</v>
      </c>
      <c r="F330" s="18">
        <f t="shared" si="71"/>
        <v>12.036758138394852</v>
      </c>
      <c r="G330" s="14">
        <f t="shared" si="72"/>
        <v>454.93433595415422</v>
      </c>
      <c r="H330" s="14">
        <f t="shared" si="74"/>
        <v>0</v>
      </c>
      <c r="I330" s="19">
        <f t="shared" si="73"/>
        <v>0</v>
      </c>
      <c r="J330" s="14">
        <f t="shared" si="75"/>
        <v>134.62293595415423</v>
      </c>
      <c r="K330" s="14">
        <f t="shared" si="76"/>
        <v>8.024842060899914</v>
      </c>
      <c r="L330" s="14">
        <f t="shared" si="76"/>
        <v>0.35018843793596194</v>
      </c>
      <c r="M330" s="20">
        <f t="shared" si="68"/>
        <v>1.7770919810417597E-2</v>
      </c>
    </row>
    <row r="331" spans="1:13" x14ac:dyDescent="0.25">
      <c r="A331" s="41">
        <v>40764</v>
      </c>
      <c r="B331">
        <v>2011.604</v>
      </c>
      <c r="C331" s="40">
        <f t="shared" si="69"/>
        <v>7525</v>
      </c>
      <c r="D331">
        <v>121.69</v>
      </c>
      <c r="E331" s="20">
        <f t="shared" si="70"/>
        <v>0</v>
      </c>
      <c r="F331" s="18">
        <f t="shared" si="71"/>
        <v>12.036758138394852</v>
      </c>
      <c r="G331" s="14">
        <f t="shared" si="72"/>
        <v>454.93433595415422</v>
      </c>
      <c r="H331" s="14">
        <f t="shared" si="74"/>
        <v>0</v>
      </c>
      <c r="I331" s="19">
        <f t="shared" si="73"/>
        <v>0</v>
      </c>
      <c r="J331" s="14">
        <f t="shared" si="75"/>
        <v>134.62293595415423</v>
      </c>
      <c r="K331" s="14">
        <f t="shared" si="76"/>
        <v>8.024842060899914</v>
      </c>
      <c r="L331" s="14">
        <f t="shared" si="76"/>
        <v>0.35018843793596194</v>
      </c>
      <c r="M331" s="20">
        <f t="shared" si="68"/>
        <v>1.7770919810417597E-2</v>
      </c>
    </row>
    <row r="332" spans="1:13" x14ac:dyDescent="0.25">
      <c r="A332" s="41">
        <v>40771</v>
      </c>
      <c r="B332">
        <v>2011.623</v>
      </c>
      <c r="C332" s="40">
        <f t="shared" si="69"/>
        <v>7532</v>
      </c>
      <c r="D332">
        <v>121.69</v>
      </c>
      <c r="E332" s="20">
        <f t="shared" si="70"/>
        <v>0</v>
      </c>
      <c r="F332" s="18">
        <f t="shared" si="71"/>
        <v>12.036758138394852</v>
      </c>
      <c r="G332" s="14">
        <f t="shared" si="72"/>
        <v>454.93433595415422</v>
      </c>
      <c r="H332" s="14">
        <f t="shared" si="74"/>
        <v>0</v>
      </c>
      <c r="I332" s="19">
        <f t="shared" si="73"/>
        <v>0</v>
      </c>
      <c r="J332" s="14">
        <f t="shared" si="75"/>
        <v>134.62293595415423</v>
      </c>
      <c r="K332" s="14">
        <f t="shared" si="76"/>
        <v>8.024842060899914</v>
      </c>
      <c r="L332" s="14">
        <f t="shared" si="76"/>
        <v>0.35018843793596194</v>
      </c>
      <c r="M332" s="20">
        <f t="shared" si="68"/>
        <v>1.7770919810417597E-2</v>
      </c>
    </row>
    <row r="333" spans="1:13" x14ac:dyDescent="0.25">
      <c r="A333" s="41">
        <v>40779</v>
      </c>
      <c r="B333">
        <v>2011.645</v>
      </c>
      <c r="C333" s="40">
        <f t="shared" si="69"/>
        <v>7540</v>
      </c>
      <c r="D333">
        <v>121.99</v>
      </c>
      <c r="E333" s="20">
        <f t="shared" si="70"/>
        <v>4.7746523257331027E-3</v>
      </c>
      <c r="F333" s="18">
        <f t="shared" si="71"/>
        <v>12.041532790720584</v>
      </c>
      <c r="G333" s="14">
        <f t="shared" si="72"/>
        <v>455.29532752299707</v>
      </c>
      <c r="H333" s="14">
        <f t="shared" si="74"/>
        <v>0.36099156884284866</v>
      </c>
      <c r="I333" s="19">
        <f t="shared" si="73"/>
        <v>7.9287343185970851E-4</v>
      </c>
      <c r="J333" s="14">
        <f t="shared" si="75"/>
        <v>134.98392752299708</v>
      </c>
      <c r="K333" s="14">
        <f t="shared" si="76"/>
        <v>8.3858336297427627</v>
      </c>
      <c r="L333" s="14">
        <f t="shared" si="76"/>
        <v>0.35098131136782162</v>
      </c>
      <c r="M333" s="20">
        <f t="shared" si="68"/>
        <v>1.8563793242277304E-2</v>
      </c>
    </row>
    <row r="334" spans="1:13" x14ac:dyDescent="0.25">
      <c r="A334" s="41">
        <v>40785</v>
      </c>
      <c r="B334">
        <v>2011.6610000000001</v>
      </c>
      <c r="C334" s="40">
        <f t="shared" si="69"/>
        <v>7546</v>
      </c>
      <c r="D334">
        <v>122.29</v>
      </c>
      <c r="E334" s="20">
        <f t="shared" si="70"/>
        <v>4.7746523257333291E-3</v>
      </c>
      <c r="F334" s="18">
        <f t="shared" si="71"/>
        <v>12.046307443046318</v>
      </c>
      <c r="G334" s="14">
        <f t="shared" si="72"/>
        <v>455.65646225891447</v>
      </c>
      <c r="H334" s="14">
        <f t="shared" si="74"/>
        <v>0.3611347359174033</v>
      </c>
      <c r="I334" s="19">
        <f t="shared" si="73"/>
        <v>7.9255923229329351E-4</v>
      </c>
      <c r="J334" s="14">
        <f t="shared" si="75"/>
        <v>135.34506225891448</v>
      </c>
      <c r="K334" s="14">
        <f t="shared" si="76"/>
        <v>8.746968365660166</v>
      </c>
      <c r="L334" s="14">
        <f t="shared" si="76"/>
        <v>0.35177387060011489</v>
      </c>
      <c r="M334" s="20">
        <f t="shared" si="68"/>
        <v>1.9356352474570598E-2</v>
      </c>
    </row>
    <row r="335" spans="1:13" x14ac:dyDescent="0.25">
      <c r="A335" s="41">
        <v>40792</v>
      </c>
      <c r="B335">
        <v>2011.68</v>
      </c>
      <c r="C335" s="40">
        <f t="shared" si="69"/>
        <v>7553</v>
      </c>
      <c r="D335">
        <v>122.89</v>
      </c>
      <c r="E335" s="20">
        <f t="shared" si="70"/>
        <v>9.5493046514662054E-3</v>
      </c>
      <c r="F335" s="18">
        <f t="shared" si="71"/>
        <v>12.055856747697785</v>
      </c>
      <c r="G335" s="14">
        <f t="shared" si="72"/>
        <v>456.37916123197209</v>
      </c>
      <c r="H335" s="14">
        <f t="shared" si="74"/>
        <v>0.72269897305761788</v>
      </c>
      <c r="I335" s="19">
        <f t="shared" si="73"/>
        <v>1.5835494572248416E-3</v>
      </c>
      <c r="J335" s="14">
        <f t="shared" si="75"/>
        <v>136.0677612319721</v>
      </c>
      <c r="K335" s="14">
        <f t="shared" si="76"/>
        <v>9.4696673387177839</v>
      </c>
      <c r="L335" s="14">
        <f t="shared" si="76"/>
        <v>0.35335742005733972</v>
      </c>
      <c r="M335" s="20">
        <f t="shared" si="68"/>
        <v>2.093990193179544E-2</v>
      </c>
    </row>
    <row r="336" spans="1:13" x14ac:dyDescent="0.25">
      <c r="A336" s="41">
        <v>40799</v>
      </c>
      <c r="B336">
        <v>2011.6990000000001</v>
      </c>
      <c r="C336" s="40">
        <f t="shared" si="69"/>
        <v>7560</v>
      </c>
      <c r="D336">
        <v>123.39</v>
      </c>
      <c r="E336" s="20">
        <f t="shared" si="70"/>
        <v>7.9577538762219142E-3</v>
      </c>
      <c r="F336" s="18">
        <f t="shared" si="71"/>
        <v>12.063814501574006</v>
      </c>
      <c r="G336" s="14">
        <f t="shared" si="72"/>
        <v>456.98184783113612</v>
      </c>
      <c r="H336" s="14">
        <f t="shared" si="74"/>
        <v>0.60268659916403067</v>
      </c>
      <c r="I336" s="19">
        <f t="shared" si="73"/>
        <v>1.3188414420056687E-3</v>
      </c>
      <c r="J336" s="14">
        <f t="shared" si="75"/>
        <v>136.67044783113613</v>
      </c>
      <c r="K336" s="14">
        <f t="shared" si="76"/>
        <v>10.072353937881815</v>
      </c>
      <c r="L336" s="14">
        <f t="shared" si="76"/>
        <v>0.35467626149934539</v>
      </c>
      <c r="M336" s="20">
        <f t="shared" si="68"/>
        <v>2.2258743373801109E-2</v>
      </c>
    </row>
    <row r="337" spans="1:13" x14ac:dyDescent="0.25">
      <c r="A337" s="41">
        <v>40806</v>
      </c>
      <c r="B337">
        <v>2011.7190000000001</v>
      </c>
      <c r="C337" s="40">
        <f t="shared" si="69"/>
        <v>7567</v>
      </c>
      <c r="D337">
        <v>123.79</v>
      </c>
      <c r="E337" s="20">
        <f t="shared" si="70"/>
        <v>6.3662031009776212E-3</v>
      </c>
      <c r="F337" s="18">
        <f t="shared" si="71"/>
        <v>12.070180704674984</v>
      </c>
      <c r="G337" s="14">
        <f t="shared" si="72"/>
        <v>457.46428344461606</v>
      </c>
      <c r="H337" s="14">
        <f t="shared" si="74"/>
        <v>0.48243561347993591</v>
      </c>
      <c r="I337" s="19">
        <f t="shared" si="73"/>
        <v>1.0545864036582062E-3</v>
      </c>
      <c r="J337" s="14">
        <f t="shared" si="75"/>
        <v>137.15288344461607</v>
      </c>
      <c r="K337" s="14">
        <f t="shared" si="76"/>
        <v>10.55478955136175</v>
      </c>
      <c r="L337" s="14">
        <f t="shared" si="76"/>
        <v>0.35573084790300358</v>
      </c>
      <c r="M337" s="20">
        <f t="shared" si="68"/>
        <v>2.3313329777459316E-2</v>
      </c>
    </row>
    <row r="338" spans="1:13" x14ac:dyDescent="0.25">
      <c r="A338" s="41">
        <v>40813</v>
      </c>
      <c r="B338">
        <v>2011.7380000000001</v>
      </c>
      <c r="C338" s="40">
        <f t="shared" si="69"/>
        <v>7574</v>
      </c>
      <c r="D338">
        <v>123.59</v>
      </c>
      <c r="E338" s="20">
        <f t="shared" si="70"/>
        <v>-3.1831015504888106E-3</v>
      </c>
      <c r="F338" s="18">
        <f t="shared" si="71"/>
        <v>12.066997603124495</v>
      </c>
      <c r="G338" s="14">
        <f t="shared" si="72"/>
        <v>457.22303382297065</v>
      </c>
      <c r="H338" s="14">
        <f t="shared" si="74"/>
        <v>-0.24124962164540875</v>
      </c>
      <c r="I338" s="19">
        <f t="shared" si="73"/>
        <v>-5.2764100624645412E-4</v>
      </c>
      <c r="J338" s="14">
        <f t="shared" si="75"/>
        <v>136.91163382297066</v>
      </c>
      <c r="K338" s="14">
        <f t="shared" si="76"/>
        <v>10.313539929716342</v>
      </c>
      <c r="L338" s="14">
        <f t="shared" si="76"/>
        <v>0.35520320689675711</v>
      </c>
      <c r="M338" s="20">
        <f t="shared" si="68"/>
        <v>2.2785688771212863E-2</v>
      </c>
    </row>
    <row r="339" spans="1:13" x14ac:dyDescent="0.25">
      <c r="A339" s="41">
        <v>40820</v>
      </c>
      <c r="B339">
        <v>2011.7570000000001</v>
      </c>
      <c r="C339" s="40">
        <f t="shared" si="69"/>
        <v>7581</v>
      </c>
      <c r="D339">
        <v>123.54</v>
      </c>
      <c r="E339" s="20">
        <f t="shared" si="70"/>
        <v>-7.9577538762214605E-4</v>
      </c>
      <c r="F339" s="18">
        <f t="shared" si="71"/>
        <v>12.066201827736872</v>
      </c>
      <c r="G339" s="14">
        <f t="shared" si="72"/>
        <v>457.16273135971721</v>
      </c>
      <c r="H339" s="14">
        <f t="shared" si="74"/>
        <v>-6.030246325343569E-2</v>
      </c>
      <c r="I339" s="19">
        <f t="shared" si="73"/>
        <v>-1.3190590377759132E-4</v>
      </c>
      <c r="J339" s="14">
        <f t="shared" si="75"/>
        <v>136.85133135971722</v>
      </c>
      <c r="K339" s="14">
        <f t="shared" si="76"/>
        <v>10.253237466462906</v>
      </c>
      <c r="L339" s="14">
        <f t="shared" si="76"/>
        <v>0.35507130099297951</v>
      </c>
      <c r="M339" s="20">
        <f t="shared" si="68"/>
        <v>2.265378286743527E-2</v>
      </c>
    </row>
    <row r="340" spans="1:13" x14ac:dyDescent="0.25">
      <c r="A340" s="41">
        <v>40827</v>
      </c>
      <c r="B340">
        <v>2011.7760000000001</v>
      </c>
      <c r="C340" s="40">
        <f t="shared" si="69"/>
        <v>7588</v>
      </c>
      <c r="D340">
        <v>124.34</v>
      </c>
      <c r="E340" s="20">
        <f t="shared" si="70"/>
        <v>1.2732406201955015E-2</v>
      </c>
      <c r="F340" s="18">
        <f t="shared" si="71"/>
        <v>12.078934233938828</v>
      </c>
      <c r="G340" s="14">
        <f t="shared" si="72"/>
        <v>458.1280479953528</v>
      </c>
      <c r="H340" s="14">
        <f t="shared" si="74"/>
        <v>0.96531663563558823</v>
      </c>
      <c r="I340" s="19">
        <f t="shared" si="73"/>
        <v>2.1070891421286222E-3</v>
      </c>
      <c r="J340" s="14">
        <f t="shared" si="75"/>
        <v>137.81664799535281</v>
      </c>
      <c r="K340" s="14">
        <f t="shared" si="76"/>
        <v>11.218554102098494</v>
      </c>
      <c r="L340" s="14">
        <f t="shared" si="76"/>
        <v>0.35717839013510816</v>
      </c>
      <c r="M340" s="20">
        <f t="shared" si="68"/>
        <v>2.4760872009563891E-2</v>
      </c>
    </row>
    <row r="341" spans="1:13" x14ac:dyDescent="0.25">
      <c r="A341" s="41">
        <v>40834</v>
      </c>
      <c r="B341">
        <v>2011.7950000000001</v>
      </c>
      <c r="C341" s="40">
        <f t="shared" si="69"/>
        <v>7595</v>
      </c>
      <c r="D341">
        <v>124.29</v>
      </c>
      <c r="E341" s="20">
        <f t="shared" si="70"/>
        <v>-7.9577538762214605E-4</v>
      </c>
      <c r="F341" s="18">
        <f t="shared" si="71"/>
        <v>12.078138458551205</v>
      </c>
      <c r="G341" s="14">
        <f t="shared" si="72"/>
        <v>458.06768587915178</v>
      </c>
      <c r="H341" s="14">
        <f t="shared" si="74"/>
        <v>-6.0362116201019944E-2</v>
      </c>
      <c r="I341" s="19">
        <f t="shared" si="73"/>
        <v>-1.3177553899085731E-4</v>
      </c>
      <c r="J341" s="14">
        <f t="shared" si="75"/>
        <v>137.75628587915179</v>
      </c>
      <c r="K341" s="14">
        <f t="shared" si="76"/>
        <v>11.158191985897474</v>
      </c>
      <c r="L341" s="14">
        <f t="shared" si="76"/>
        <v>0.35704661459611731</v>
      </c>
      <c r="M341" s="20">
        <f t="shared" si="68"/>
        <v>2.4629096470573035E-2</v>
      </c>
    </row>
    <row r="342" spans="1:13" x14ac:dyDescent="0.25">
      <c r="A342" s="41">
        <v>40841</v>
      </c>
      <c r="B342">
        <v>2011.8140000000001</v>
      </c>
      <c r="C342" s="40">
        <f t="shared" si="69"/>
        <v>7602</v>
      </c>
      <c r="D342">
        <v>124.29</v>
      </c>
      <c r="E342" s="20">
        <f t="shared" si="70"/>
        <v>0</v>
      </c>
      <c r="F342" s="18">
        <f t="shared" si="71"/>
        <v>12.078138458551205</v>
      </c>
      <c r="G342" s="14">
        <f t="shared" si="72"/>
        <v>458.06768587915178</v>
      </c>
      <c r="H342" s="14">
        <f t="shared" si="74"/>
        <v>0</v>
      </c>
      <c r="I342" s="19">
        <f t="shared" si="73"/>
        <v>0</v>
      </c>
      <c r="J342" s="14">
        <f t="shared" si="75"/>
        <v>137.75628587915179</v>
      </c>
      <c r="K342" s="14">
        <f t="shared" si="76"/>
        <v>11.158191985897474</v>
      </c>
      <c r="L342" s="14">
        <f t="shared" si="76"/>
        <v>0.35704661459611731</v>
      </c>
      <c r="M342" s="20">
        <f t="shared" si="68"/>
        <v>2.4629096470573035E-2</v>
      </c>
    </row>
    <row r="343" spans="1:13" x14ac:dyDescent="0.25">
      <c r="A343" s="41">
        <v>40848</v>
      </c>
      <c r="B343">
        <v>2011.8330000000001</v>
      </c>
      <c r="C343" s="40">
        <f t="shared" si="69"/>
        <v>7609</v>
      </c>
      <c r="D343">
        <v>124.39</v>
      </c>
      <c r="E343" s="20">
        <f t="shared" si="70"/>
        <v>1.5915507752442921E-3</v>
      </c>
      <c r="F343" s="18">
        <f t="shared" si="71"/>
        <v>12.079730009326449</v>
      </c>
      <c r="G343" s="14">
        <f t="shared" si="72"/>
        <v>458.18841408841701</v>
      </c>
      <c r="H343" s="14">
        <f t="shared" si="74"/>
        <v>0.12072820926522354</v>
      </c>
      <c r="I343" s="19">
        <f t="shared" si="73"/>
        <v>2.6349031436208797E-4</v>
      </c>
      <c r="J343" s="14">
        <f t="shared" si="75"/>
        <v>137.87701408841701</v>
      </c>
      <c r="K343" s="14">
        <f t="shared" ref="K343:L358" si="77">H343+K342</f>
        <v>11.278920195162698</v>
      </c>
      <c r="L343" s="14">
        <f t="shared" si="77"/>
        <v>0.35731010491047938</v>
      </c>
      <c r="M343" s="20">
        <f t="shared" si="68"/>
        <v>2.4892586784935122E-2</v>
      </c>
    </row>
    <row r="344" spans="1:13" x14ac:dyDescent="0.25">
      <c r="A344" s="41">
        <v>40862</v>
      </c>
      <c r="B344">
        <v>2011.8720000000001</v>
      </c>
      <c r="C344" s="40">
        <f t="shared" si="69"/>
        <v>7623</v>
      </c>
      <c r="D344">
        <v>124.39</v>
      </c>
      <c r="E344" s="20">
        <f t="shared" si="70"/>
        <v>0</v>
      </c>
      <c r="F344" s="18">
        <f t="shared" si="71"/>
        <v>12.079730009326449</v>
      </c>
      <c r="G344" s="14">
        <f t="shared" si="72"/>
        <v>458.18841408841701</v>
      </c>
      <c r="H344" s="14">
        <f t="shared" si="74"/>
        <v>0</v>
      </c>
      <c r="I344" s="19">
        <f t="shared" si="73"/>
        <v>0</v>
      </c>
      <c r="J344" s="14">
        <f t="shared" si="75"/>
        <v>137.87701408841701</v>
      </c>
      <c r="K344" s="14">
        <f t="shared" si="77"/>
        <v>11.278920195162698</v>
      </c>
      <c r="L344" s="14">
        <f t="shared" si="77"/>
        <v>0.35731010491047938</v>
      </c>
      <c r="M344" s="20">
        <f t="shared" si="68"/>
        <v>2.4892586784935122E-2</v>
      </c>
    </row>
    <row r="345" spans="1:13" x14ac:dyDescent="0.25">
      <c r="A345" s="41">
        <v>40875</v>
      </c>
      <c r="B345">
        <v>2011.9069999999999</v>
      </c>
      <c r="C345" s="40">
        <f t="shared" si="69"/>
        <v>7636</v>
      </c>
      <c r="D345">
        <v>124.49</v>
      </c>
      <c r="E345" s="20">
        <f t="shared" si="70"/>
        <v>1.5915507752442921E-3</v>
      </c>
      <c r="F345" s="18">
        <f t="shared" si="71"/>
        <v>12.081321560101692</v>
      </c>
      <c r="G345" s="14">
        <f t="shared" si="72"/>
        <v>458.30915820513491</v>
      </c>
      <c r="H345" s="14">
        <f t="shared" si="74"/>
        <v>0.12074411671790131</v>
      </c>
      <c r="I345" s="19">
        <f t="shared" si="73"/>
        <v>2.6345560536204115E-4</v>
      </c>
      <c r="J345" s="14">
        <f t="shared" si="75"/>
        <v>137.99775820513491</v>
      </c>
      <c r="K345" s="14">
        <f t="shared" si="77"/>
        <v>11.399664311880599</v>
      </c>
      <c r="L345" s="14">
        <f t="shared" si="77"/>
        <v>0.35757356051584144</v>
      </c>
      <c r="M345" s="20">
        <f t="shared" si="68"/>
        <v>2.5156042390297163E-2</v>
      </c>
    </row>
    <row r="346" spans="1:13" x14ac:dyDescent="0.25">
      <c r="A346" s="41">
        <v>40906</v>
      </c>
      <c r="B346">
        <v>2011.992</v>
      </c>
      <c r="C346" s="40">
        <f t="shared" si="69"/>
        <v>7667</v>
      </c>
      <c r="D346">
        <v>124.39</v>
      </c>
      <c r="E346" s="20">
        <f t="shared" si="70"/>
        <v>-1.5915507752442921E-3</v>
      </c>
      <c r="F346" s="18">
        <f t="shared" si="71"/>
        <v>12.079730009326449</v>
      </c>
      <c r="G346" s="14">
        <f t="shared" si="72"/>
        <v>458.18841408841701</v>
      </c>
      <c r="H346" s="14">
        <f t="shared" si="74"/>
        <v>-0.12074411671790131</v>
      </c>
      <c r="I346" s="19">
        <f t="shared" si="73"/>
        <v>-2.6352503250900885E-4</v>
      </c>
      <c r="J346" s="14">
        <f t="shared" si="75"/>
        <v>137.87701408841701</v>
      </c>
      <c r="K346" s="14">
        <f t="shared" si="77"/>
        <v>11.278920195162698</v>
      </c>
      <c r="L346" s="14">
        <f t="shared" si="77"/>
        <v>0.35731003548333246</v>
      </c>
      <c r="M346" s="20">
        <f t="shared" si="68"/>
        <v>2.4892517357788153E-2</v>
      </c>
    </row>
    <row r="347" spans="1:13" x14ac:dyDescent="0.25">
      <c r="A347" s="41">
        <v>40921</v>
      </c>
      <c r="B347">
        <v>2012.0360000000001</v>
      </c>
      <c r="C347" s="40">
        <f t="shared" si="69"/>
        <v>7682</v>
      </c>
      <c r="D347">
        <v>124.39</v>
      </c>
      <c r="E347" s="20">
        <f t="shared" si="70"/>
        <v>0</v>
      </c>
      <c r="F347" s="18">
        <f t="shared" si="71"/>
        <v>12.079730009326449</v>
      </c>
      <c r="G347" s="14">
        <f t="shared" si="72"/>
        <v>458.18841408841701</v>
      </c>
      <c r="H347" s="14">
        <f t="shared" si="74"/>
        <v>0</v>
      </c>
      <c r="I347" s="19">
        <f t="shared" si="73"/>
        <v>0</v>
      </c>
      <c r="J347" s="14">
        <f t="shared" si="75"/>
        <v>137.87701408841701</v>
      </c>
      <c r="K347" s="14">
        <f>H347</f>
        <v>0</v>
      </c>
      <c r="L347" s="14">
        <f t="shared" si="77"/>
        <v>0.35731003548333246</v>
      </c>
      <c r="M347" s="20">
        <f>I347</f>
        <v>0</v>
      </c>
    </row>
    <row r="348" spans="1:13" x14ac:dyDescent="0.25">
      <c r="A348" s="41">
        <v>40939</v>
      </c>
      <c r="B348">
        <v>2012.085</v>
      </c>
      <c r="C348" s="40">
        <f t="shared" si="69"/>
        <v>7700</v>
      </c>
      <c r="D348">
        <v>124.29</v>
      </c>
      <c r="E348" s="20">
        <f t="shared" si="70"/>
        <v>-1.5915507752442921E-3</v>
      </c>
      <c r="F348" s="18">
        <f t="shared" si="71"/>
        <v>12.078138458551205</v>
      </c>
      <c r="G348" s="14">
        <f t="shared" si="72"/>
        <v>458.06768587915178</v>
      </c>
      <c r="H348" s="14">
        <f t="shared" si="74"/>
        <v>-0.12072820926522354</v>
      </c>
      <c r="I348" s="19">
        <f t="shared" si="73"/>
        <v>-2.6355975980605245E-4</v>
      </c>
      <c r="J348" s="14">
        <f t="shared" si="75"/>
        <v>137.75628587915179</v>
      </c>
      <c r="K348" s="14">
        <f t="shared" ref="K348:L363" si="78">H348+K347</f>
        <v>-0.12072820926522354</v>
      </c>
      <c r="L348" s="14">
        <f t="shared" si="77"/>
        <v>0.35704647572352638</v>
      </c>
      <c r="M348" s="20">
        <f t="shared" ref="M348:M385" si="79">I348+M347</f>
        <v>-2.6355975980605245E-4</v>
      </c>
    </row>
    <row r="349" spans="1:13" x14ac:dyDescent="0.25">
      <c r="A349" s="41">
        <v>40961</v>
      </c>
      <c r="B349">
        <v>2012.145</v>
      </c>
      <c r="C349" s="40">
        <f t="shared" si="69"/>
        <v>7722</v>
      </c>
      <c r="D349">
        <v>124.29</v>
      </c>
      <c r="E349" s="20">
        <f t="shared" si="70"/>
        <v>0</v>
      </c>
      <c r="F349" s="18">
        <f t="shared" si="71"/>
        <v>12.078138458551205</v>
      </c>
      <c r="G349" s="14">
        <f t="shared" si="72"/>
        <v>458.06768587915178</v>
      </c>
      <c r="H349" s="14">
        <f t="shared" si="74"/>
        <v>0</v>
      </c>
      <c r="I349" s="19">
        <f t="shared" si="73"/>
        <v>0</v>
      </c>
      <c r="J349" s="14">
        <f t="shared" si="75"/>
        <v>137.75628587915179</v>
      </c>
      <c r="K349" s="14">
        <f t="shared" si="78"/>
        <v>-0.12072820926522354</v>
      </c>
      <c r="L349" s="14">
        <f t="shared" si="77"/>
        <v>0.35704647572352638</v>
      </c>
      <c r="M349" s="20">
        <f t="shared" si="79"/>
        <v>-2.6355975980605245E-4</v>
      </c>
    </row>
    <row r="350" spans="1:13" x14ac:dyDescent="0.25">
      <c r="A350" s="41">
        <v>40982</v>
      </c>
      <c r="B350">
        <v>2012.202</v>
      </c>
      <c r="C350" s="40">
        <f t="shared" si="69"/>
        <v>7743</v>
      </c>
      <c r="D350">
        <v>124.39</v>
      </c>
      <c r="E350" s="20">
        <f t="shared" si="70"/>
        <v>1.5915507752442921E-3</v>
      </c>
      <c r="F350" s="18">
        <f t="shared" si="71"/>
        <v>12.079730009326449</v>
      </c>
      <c r="G350" s="14">
        <f t="shared" si="72"/>
        <v>458.18841408841701</v>
      </c>
      <c r="H350" s="14">
        <f t="shared" si="74"/>
        <v>0.12072820926522354</v>
      </c>
      <c r="I350" s="19">
        <f t="shared" si="73"/>
        <v>2.6349031436208797E-4</v>
      </c>
      <c r="J350" s="14">
        <f t="shared" si="75"/>
        <v>137.87701408841701</v>
      </c>
      <c r="K350" s="14">
        <f t="shared" si="78"/>
        <v>0</v>
      </c>
      <c r="L350" s="14">
        <f t="shared" si="77"/>
        <v>0.35730996603788845</v>
      </c>
      <c r="M350" s="20">
        <f t="shared" si="79"/>
        <v>-6.9445443964485411E-8</v>
      </c>
    </row>
    <row r="351" spans="1:13" x14ac:dyDescent="0.25">
      <c r="A351" s="41">
        <v>40995</v>
      </c>
      <c r="B351">
        <v>2012.2380000000001</v>
      </c>
      <c r="C351" s="40">
        <f t="shared" si="69"/>
        <v>7756</v>
      </c>
      <c r="D351">
        <v>124.39</v>
      </c>
      <c r="E351" s="20">
        <f t="shared" si="70"/>
        <v>0</v>
      </c>
      <c r="F351" s="18">
        <f t="shared" si="71"/>
        <v>12.079730009326449</v>
      </c>
      <c r="G351" s="14">
        <f t="shared" si="72"/>
        <v>458.18841408841701</v>
      </c>
      <c r="H351" s="14">
        <f t="shared" si="74"/>
        <v>0</v>
      </c>
      <c r="I351" s="19">
        <f t="shared" si="73"/>
        <v>0</v>
      </c>
      <c r="J351" s="14">
        <f t="shared" si="75"/>
        <v>137.87701408841701</v>
      </c>
      <c r="K351" s="14">
        <f t="shared" si="78"/>
        <v>0</v>
      </c>
      <c r="L351" s="14">
        <f t="shared" si="77"/>
        <v>0.35730996603788845</v>
      </c>
      <c r="M351" s="20">
        <f t="shared" si="79"/>
        <v>-6.9445443964485411E-8</v>
      </c>
    </row>
    <row r="352" spans="1:13" x14ac:dyDescent="0.25">
      <c r="A352" s="41">
        <v>41004</v>
      </c>
      <c r="B352">
        <v>2012.2619999999999</v>
      </c>
      <c r="C352" s="40">
        <f t="shared" si="69"/>
        <v>7765</v>
      </c>
      <c r="D352">
        <v>124.99</v>
      </c>
      <c r="E352" s="20">
        <f t="shared" si="70"/>
        <v>9.5493046514662054E-3</v>
      </c>
      <c r="F352" s="18">
        <f t="shared" si="71"/>
        <v>12.089279313977915</v>
      </c>
      <c r="G352" s="14">
        <f t="shared" si="72"/>
        <v>458.91311740051538</v>
      </c>
      <c r="H352" s="14">
        <f t="shared" si="74"/>
        <v>0.72470331209837013</v>
      </c>
      <c r="I352" s="19">
        <f t="shared" si="73"/>
        <v>1.5791732348018437E-3</v>
      </c>
      <c r="J352" s="14">
        <f t="shared" si="75"/>
        <v>138.60171740051538</v>
      </c>
      <c r="K352" s="14">
        <f t="shared" si="78"/>
        <v>0.72470331209837013</v>
      </c>
      <c r="L352" s="14">
        <f t="shared" si="77"/>
        <v>0.35888913927269028</v>
      </c>
      <c r="M352" s="20">
        <f t="shared" si="79"/>
        <v>1.5791037893578791E-3</v>
      </c>
    </row>
    <row r="353" spans="1:13" x14ac:dyDescent="0.25">
      <c r="A353" s="41">
        <v>41009</v>
      </c>
      <c r="B353">
        <v>2012.2760000000001</v>
      </c>
      <c r="C353" s="40">
        <f t="shared" si="69"/>
        <v>7770</v>
      </c>
      <c r="D353">
        <v>125.19</v>
      </c>
      <c r="E353" s="20">
        <f t="shared" si="70"/>
        <v>3.1831015504888106E-3</v>
      </c>
      <c r="F353" s="18">
        <f t="shared" si="71"/>
        <v>12.092462415528404</v>
      </c>
      <c r="G353" s="14">
        <f t="shared" si="72"/>
        <v>459.15481243083656</v>
      </c>
      <c r="H353" s="14">
        <f t="shared" si="74"/>
        <v>0.241695030321182</v>
      </c>
      <c r="I353" s="19">
        <f t="shared" si="73"/>
        <v>5.2639115125813695E-4</v>
      </c>
      <c r="J353" s="14">
        <f t="shared" si="75"/>
        <v>138.84341243083657</v>
      </c>
      <c r="K353" s="14">
        <f t="shared" si="78"/>
        <v>0.96639834241955214</v>
      </c>
      <c r="L353" s="14">
        <f t="shared" si="77"/>
        <v>0.35941553042394841</v>
      </c>
      <c r="M353" s="20">
        <f t="shared" si="79"/>
        <v>2.1054949406160159E-3</v>
      </c>
    </row>
    <row r="354" spans="1:13" x14ac:dyDescent="0.25">
      <c r="A354" s="41">
        <v>41016</v>
      </c>
      <c r="B354">
        <v>2012.2950000000001</v>
      </c>
      <c r="C354" s="40">
        <f t="shared" si="69"/>
        <v>7777</v>
      </c>
      <c r="D354">
        <v>126.39</v>
      </c>
      <c r="E354" s="20">
        <f t="shared" si="70"/>
        <v>1.9098609302932636E-2</v>
      </c>
      <c r="F354" s="18">
        <f t="shared" si="71"/>
        <v>12.111561024831337</v>
      </c>
      <c r="G354" s="14">
        <f t="shared" si="72"/>
        <v>460.60631883879046</v>
      </c>
      <c r="H354" s="14">
        <f t="shared" si="74"/>
        <v>1.4515064079539002</v>
      </c>
      <c r="I354" s="19">
        <f t="shared" si="73"/>
        <v>3.1512950400099026E-3</v>
      </c>
      <c r="J354" s="14">
        <f t="shared" si="75"/>
        <v>140.29491883879047</v>
      </c>
      <c r="K354" s="14">
        <f t="shared" si="78"/>
        <v>2.4179047503734523</v>
      </c>
      <c r="L354" s="14">
        <f t="shared" si="77"/>
        <v>0.3625668254639583</v>
      </c>
      <c r="M354" s="20">
        <f t="shared" si="79"/>
        <v>5.2567899806259186E-3</v>
      </c>
    </row>
    <row r="355" spans="1:13" x14ac:dyDescent="0.25">
      <c r="A355" s="41">
        <v>41023</v>
      </c>
      <c r="B355">
        <v>2012.3140000000001</v>
      </c>
      <c r="C355" s="40">
        <f t="shared" si="69"/>
        <v>7784</v>
      </c>
      <c r="D355">
        <v>128.69</v>
      </c>
      <c r="E355" s="20">
        <f t="shared" si="70"/>
        <v>3.6605667830620754E-2</v>
      </c>
      <c r="F355" s="18">
        <f t="shared" si="71"/>
        <v>12.148166692661958</v>
      </c>
      <c r="G355" s="14">
        <f t="shared" si="72"/>
        <v>463.3947755370823</v>
      </c>
      <c r="H355" s="14">
        <f t="shared" si="74"/>
        <v>2.7884566982918386</v>
      </c>
      <c r="I355" s="19">
        <f t="shared" si="73"/>
        <v>6.0174538978346719E-3</v>
      </c>
      <c r="J355" s="14">
        <f t="shared" si="75"/>
        <v>143.0833755370823</v>
      </c>
      <c r="K355" s="14">
        <f t="shared" si="78"/>
        <v>5.2063614486652909</v>
      </c>
      <c r="L355" s="14">
        <f t="shared" si="77"/>
        <v>0.36858427936179294</v>
      </c>
      <c r="M355" s="20">
        <f t="shared" si="79"/>
        <v>1.127424387846059E-2</v>
      </c>
    </row>
    <row r="356" spans="1:13" x14ac:dyDescent="0.25">
      <c r="A356" s="41">
        <v>41031</v>
      </c>
      <c r="B356">
        <v>2012.336</v>
      </c>
      <c r="C356" s="40">
        <f t="shared" si="69"/>
        <v>7792</v>
      </c>
      <c r="D356">
        <v>128.99</v>
      </c>
      <c r="E356" s="20">
        <f t="shared" si="70"/>
        <v>4.7746523257333291E-3</v>
      </c>
      <c r="F356" s="18">
        <f t="shared" si="71"/>
        <v>12.152941344987692</v>
      </c>
      <c r="G356" s="14">
        <f t="shared" si="72"/>
        <v>463.75910767099333</v>
      </c>
      <c r="H356" s="14">
        <f t="shared" si="74"/>
        <v>0.36433213391103436</v>
      </c>
      <c r="I356" s="19">
        <f t="shared" si="73"/>
        <v>7.8560642343115797E-4</v>
      </c>
      <c r="J356" s="14">
        <f t="shared" si="75"/>
        <v>143.44770767099334</v>
      </c>
      <c r="K356" s="14">
        <f t="shared" si="78"/>
        <v>5.5706935825763253</v>
      </c>
      <c r="L356" s="14">
        <f t="shared" si="77"/>
        <v>0.36936988578522412</v>
      </c>
      <c r="M356" s="20">
        <f t="shared" si="79"/>
        <v>1.2059850301891748E-2</v>
      </c>
    </row>
    <row r="357" spans="1:13" x14ac:dyDescent="0.25">
      <c r="A357" s="41">
        <v>41037</v>
      </c>
      <c r="B357">
        <v>2012.3520000000001</v>
      </c>
      <c r="C357" s="40">
        <f t="shared" si="69"/>
        <v>7798</v>
      </c>
      <c r="D357">
        <v>129.38999999999999</v>
      </c>
      <c r="E357" s="20">
        <f t="shared" si="70"/>
        <v>6.3662031009771684E-3</v>
      </c>
      <c r="F357" s="18">
        <f t="shared" si="71"/>
        <v>12.15930754808867</v>
      </c>
      <c r="G357" s="14">
        <f t="shared" si="72"/>
        <v>464.24510655387917</v>
      </c>
      <c r="H357" s="14">
        <f t="shared" si="74"/>
        <v>0.4859988828858377</v>
      </c>
      <c r="I357" s="19">
        <f t="shared" si="73"/>
        <v>1.0468583858501777E-3</v>
      </c>
      <c r="J357" s="14">
        <f t="shared" si="75"/>
        <v>143.93370655387918</v>
      </c>
      <c r="K357" s="14">
        <f t="shared" si="78"/>
        <v>6.056692465462163</v>
      </c>
      <c r="L357" s="14">
        <f t="shared" si="77"/>
        <v>0.37041674417107429</v>
      </c>
      <c r="M357" s="20">
        <f t="shared" si="79"/>
        <v>1.3106708687741926E-2</v>
      </c>
    </row>
    <row r="358" spans="1:13" x14ac:dyDescent="0.25">
      <c r="A358" s="41">
        <v>41045</v>
      </c>
      <c r="B358">
        <v>2012.374</v>
      </c>
      <c r="C358" s="40">
        <f t="shared" si="69"/>
        <v>7806</v>
      </c>
      <c r="D358">
        <v>131.49</v>
      </c>
      <c r="E358" s="20">
        <f t="shared" si="70"/>
        <v>3.3422566280132397E-2</v>
      </c>
      <c r="F358" s="18">
        <f t="shared" si="71"/>
        <v>12.192730114368802</v>
      </c>
      <c r="G358" s="14">
        <f t="shared" si="72"/>
        <v>466.80077639536455</v>
      </c>
      <c r="H358" s="14">
        <f t="shared" si="74"/>
        <v>2.5556698414853827</v>
      </c>
      <c r="I358" s="19">
        <f t="shared" si="73"/>
        <v>5.4748620197684001E-3</v>
      </c>
      <c r="J358" s="14">
        <f t="shared" si="75"/>
        <v>146.48937639536456</v>
      </c>
      <c r="K358" s="14">
        <f t="shared" si="78"/>
        <v>8.6123623069475457</v>
      </c>
      <c r="L358" s="14">
        <f t="shared" si="77"/>
        <v>0.37589160619084266</v>
      </c>
      <c r="M358" s="20">
        <f t="shared" si="79"/>
        <v>1.8581570707510327E-2</v>
      </c>
    </row>
    <row r="359" spans="1:13" x14ac:dyDescent="0.25">
      <c r="A359" s="41">
        <v>41051</v>
      </c>
      <c r="B359">
        <v>2012.3910000000001</v>
      </c>
      <c r="C359" s="40">
        <f t="shared" si="69"/>
        <v>7812</v>
      </c>
      <c r="D359">
        <v>131.88999999999999</v>
      </c>
      <c r="E359" s="20">
        <f t="shared" si="70"/>
        <v>6.3662031009771684E-3</v>
      </c>
      <c r="F359" s="18">
        <f t="shared" si="71"/>
        <v>12.199096317469779</v>
      </c>
      <c r="G359" s="14">
        <f t="shared" si="72"/>
        <v>467.28836602352084</v>
      </c>
      <c r="H359" s="14">
        <f t="shared" si="74"/>
        <v>0.48758962815628593</v>
      </c>
      <c r="I359" s="19">
        <f t="shared" si="73"/>
        <v>1.043444826811167E-3</v>
      </c>
      <c r="J359" s="14">
        <f t="shared" si="75"/>
        <v>146.97696602352084</v>
      </c>
      <c r="K359" s="14">
        <f t="shared" si="78"/>
        <v>9.0999519351038316</v>
      </c>
      <c r="L359" s="14">
        <f t="shared" si="78"/>
        <v>0.37693505101765384</v>
      </c>
      <c r="M359" s="20">
        <f t="shared" si="79"/>
        <v>1.9625015534321492E-2</v>
      </c>
    </row>
    <row r="360" spans="1:13" x14ac:dyDescent="0.25">
      <c r="A360" s="41">
        <v>41059</v>
      </c>
      <c r="B360">
        <v>2012.413</v>
      </c>
      <c r="C360" s="40">
        <f t="shared" si="69"/>
        <v>7820</v>
      </c>
      <c r="D360">
        <v>131.84</v>
      </c>
      <c r="E360" s="20">
        <f t="shared" si="70"/>
        <v>-7.9577538762192E-4</v>
      </c>
      <c r="F360" s="18">
        <f t="shared" si="71"/>
        <v>12.198300542082157</v>
      </c>
      <c r="G360" s="14">
        <f t="shared" si="72"/>
        <v>467.22740340098022</v>
      </c>
      <c r="H360" s="14">
        <f t="shared" si="74"/>
        <v>-6.0962622540614575E-2</v>
      </c>
      <c r="I360" s="19">
        <f t="shared" si="73"/>
        <v>-1.3047741227689873E-4</v>
      </c>
      <c r="J360" s="14">
        <f t="shared" si="75"/>
        <v>146.91600340098023</v>
      </c>
      <c r="K360" s="14">
        <f t="shared" si="78"/>
        <v>9.038989312563217</v>
      </c>
      <c r="L360" s="14">
        <f t="shared" si="78"/>
        <v>0.37680457360537695</v>
      </c>
      <c r="M360" s="20">
        <f t="shared" si="79"/>
        <v>1.9494538122044595E-2</v>
      </c>
    </row>
    <row r="361" spans="1:13" x14ac:dyDescent="0.25">
      <c r="A361" s="41">
        <v>41065</v>
      </c>
      <c r="B361">
        <v>2012.4290000000001</v>
      </c>
      <c r="C361" s="40">
        <f t="shared" si="69"/>
        <v>7826</v>
      </c>
      <c r="D361">
        <v>131.99</v>
      </c>
      <c r="E361" s="20">
        <f t="shared" si="70"/>
        <v>2.3873261628666645E-3</v>
      </c>
      <c r="F361" s="18">
        <f t="shared" si="71"/>
        <v>12.200687868245023</v>
      </c>
      <c r="G361" s="14">
        <f t="shared" si="72"/>
        <v>467.41030319919162</v>
      </c>
      <c r="H361" s="14">
        <f t="shared" si="74"/>
        <v>0.18289979821139468</v>
      </c>
      <c r="I361" s="19">
        <f t="shared" si="73"/>
        <v>3.9130459247375661E-4</v>
      </c>
      <c r="J361" s="14">
        <f t="shared" si="75"/>
        <v>147.09890319919162</v>
      </c>
      <c r="K361" s="14">
        <f t="shared" si="78"/>
        <v>9.2218891107746117</v>
      </c>
      <c r="L361" s="14">
        <f t="shared" si="78"/>
        <v>0.37719587819785072</v>
      </c>
      <c r="M361" s="20">
        <f t="shared" si="79"/>
        <v>1.9885842714518352E-2</v>
      </c>
    </row>
    <row r="362" spans="1:13" x14ac:dyDescent="0.25">
      <c r="A362" s="41">
        <v>41072</v>
      </c>
      <c r="B362">
        <v>2012.4480000000001</v>
      </c>
      <c r="C362" s="40">
        <f t="shared" si="69"/>
        <v>7833</v>
      </c>
      <c r="D362">
        <v>131.99</v>
      </c>
      <c r="E362" s="20">
        <f t="shared" si="70"/>
        <v>0</v>
      </c>
      <c r="F362" s="18">
        <f t="shared" si="71"/>
        <v>12.200687868245023</v>
      </c>
      <c r="G362" s="14">
        <f t="shared" si="72"/>
        <v>467.41030319919162</v>
      </c>
      <c r="H362" s="14">
        <f t="shared" si="74"/>
        <v>0</v>
      </c>
      <c r="I362" s="19">
        <f t="shared" si="73"/>
        <v>0</v>
      </c>
      <c r="J362" s="14">
        <f t="shared" si="75"/>
        <v>147.09890319919162</v>
      </c>
      <c r="K362" s="14">
        <f t="shared" si="78"/>
        <v>9.2218891107746117</v>
      </c>
      <c r="L362" s="14">
        <f t="shared" si="78"/>
        <v>0.37719587819785072</v>
      </c>
      <c r="M362" s="20">
        <f t="shared" si="79"/>
        <v>1.9885842714518352E-2</v>
      </c>
    </row>
    <row r="363" spans="1:13" x14ac:dyDescent="0.25">
      <c r="A363" s="41">
        <v>41079</v>
      </c>
      <c r="B363">
        <v>2012.4670000000001</v>
      </c>
      <c r="C363" s="40">
        <f t="shared" si="69"/>
        <v>7840</v>
      </c>
      <c r="D363">
        <v>131.79</v>
      </c>
      <c r="E363" s="20">
        <f t="shared" si="70"/>
        <v>-3.1831015504890365E-3</v>
      </c>
      <c r="F363" s="18">
        <f t="shared" si="71"/>
        <v>12.197504766694534</v>
      </c>
      <c r="G363" s="14">
        <f t="shared" si="72"/>
        <v>467.16644475530268</v>
      </c>
      <c r="H363" s="14">
        <f t="shared" si="74"/>
        <v>-0.24385844388893929</v>
      </c>
      <c r="I363" s="19">
        <f t="shared" si="73"/>
        <v>-5.2199477643705768E-4</v>
      </c>
      <c r="J363" s="14">
        <f t="shared" si="75"/>
        <v>146.85504475530269</v>
      </c>
      <c r="K363" s="14">
        <f t="shared" si="78"/>
        <v>8.9780306668856724</v>
      </c>
      <c r="L363" s="14">
        <f t="shared" si="78"/>
        <v>0.37667388342141367</v>
      </c>
      <c r="M363" s="20">
        <f t="shared" si="79"/>
        <v>1.9363847938081293E-2</v>
      </c>
    </row>
    <row r="364" spans="1:13" x14ac:dyDescent="0.25">
      <c r="A364" s="41">
        <v>41086</v>
      </c>
      <c r="B364">
        <v>2012.4860000000001</v>
      </c>
      <c r="C364" s="40">
        <f t="shared" si="69"/>
        <v>7847</v>
      </c>
      <c r="D364">
        <v>131.88999999999999</v>
      </c>
      <c r="E364" s="20">
        <f t="shared" si="70"/>
        <v>1.5915507752442921E-3</v>
      </c>
      <c r="F364" s="18">
        <f t="shared" si="71"/>
        <v>12.199096317469778</v>
      </c>
      <c r="G364" s="14">
        <f t="shared" si="72"/>
        <v>467.28836602352072</v>
      </c>
      <c r="H364" s="14">
        <f t="shared" si="74"/>
        <v>0.1219212682180455</v>
      </c>
      <c r="I364" s="19">
        <f t="shared" si="73"/>
        <v>2.609122697737111E-4</v>
      </c>
      <c r="J364" s="14">
        <f t="shared" si="75"/>
        <v>146.97696602352073</v>
      </c>
      <c r="K364" s="14">
        <f t="shared" ref="K364:L379" si="80">H364+K363</f>
        <v>9.0999519351037179</v>
      </c>
      <c r="L364" s="14">
        <f t="shared" si="80"/>
        <v>0.37693479569118737</v>
      </c>
      <c r="M364" s="20">
        <f t="shared" si="79"/>
        <v>1.9624760207855006E-2</v>
      </c>
    </row>
    <row r="365" spans="1:13" x14ac:dyDescent="0.25">
      <c r="A365" s="41">
        <v>41093</v>
      </c>
      <c r="B365">
        <v>2012.5050000000001</v>
      </c>
      <c r="C365" s="40">
        <f t="shared" si="69"/>
        <v>7854</v>
      </c>
      <c r="D365">
        <v>131.69</v>
      </c>
      <c r="E365" s="20">
        <f t="shared" si="70"/>
        <v>-3.1831015504885842E-3</v>
      </c>
      <c r="F365" s="18">
        <f t="shared" si="71"/>
        <v>12.195913215919289</v>
      </c>
      <c r="G365" s="14">
        <f t="shared" si="72"/>
        <v>467.0445393945372</v>
      </c>
      <c r="H365" s="14">
        <f t="shared" si="74"/>
        <v>-0.24382662898352692</v>
      </c>
      <c r="I365" s="19">
        <f t="shared" si="73"/>
        <v>-5.2206290496323239E-4</v>
      </c>
      <c r="J365" s="14">
        <f t="shared" si="75"/>
        <v>146.7331393945372</v>
      </c>
      <c r="K365" s="14">
        <f t="shared" si="80"/>
        <v>8.856125306120191</v>
      </c>
      <c r="L365" s="14">
        <f t="shared" si="80"/>
        <v>0.37641273278622417</v>
      </c>
      <c r="M365" s="20">
        <f t="shared" si="79"/>
        <v>1.9102697302891773E-2</v>
      </c>
    </row>
    <row r="366" spans="1:13" x14ac:dyDescent="0.25">
      <c r="A366" s="41">
        <v>41100</v>
      </c>
      <c r="B366">
        <v>2012.5250000000001</v>
      </c>
      <c r="C366" s="40">
        <f t="shared" si="69"/>
        <v>7861</v>
      </c>
      <c r="D366">
        <v>132.19</v>
      </c>
      <c r="E366" s="20">
        <f t="shared" si="70"/>
        <v>7.9577538762219142E-3</v>
      </c>
      <c r="F366" s="18">
        <f t="shared" si="71"/>
        <v>12.20387096979551</v>
      </c>
      <c r="G366" s="14">
        <f t="shared" si="72"/>
        <v>467.65422527289127</v>
      </c>
      <c r="H366" s="14">
        <f t="shared" si="74"/>
        <v>0.60968587835407106</v>
      </c>
      <c r="I366" s="19">
        <f t="shared" si="73"/>
        <v>1.3037108303646777E-3</v>
      </c>
      <c r="J366" s="14">
        <f t="shared" si="75"/>
        <v>147.34282527289128</v>
      </c>
      <c r="K366" s="14">
        <f t="shared" si="80"/>
        <v>9.4658111844742621</v>
      </c>
      <c r="L366" s="14">
        <f t="shared" si="80"/>
        <v>0.37771644361658885</v>
      </c>
      <c r="M366" s="20">
        <f t="shared" si="79"/>
        <v>2.0406408133256448E-2</v>
      </c>
    </row>
    <row r="367" spans="1:13" x14ac:dyDescent="0.25">
      <c r="A367" s="41">
        <v>41107</v>
      </c>
      <c r="B367">
        <v>2012.5440000000001</v>
      </c>
      <c r="C367" s="40">
        <f t="shared" si="69"/>
        <v>7868</v>
      </c>
      <c r="D367">
        <v>132.79</v>
      </c>
      <c r="E367" s="20">
        <f t="shared" si="70"/>
        <v>9.5493046514662054E-3</v>
      </c>
      <c r="F367" s="18">
        <f t="shared" si="71"/>
        <v>12.213420274446976</v>
      </c>
      <c r="G367" s="14">
        <f t="shared" si="72"/>
        <v>468.38637327285551</v>
      </c>
      <c r="H367" s="14">
        <f t="shared" si="74"/>
        <v>0.73214799996424063</v>
      </c>
      <c r="I367" s="19">
        <f t="shared" si="73"/>
        <v>1.5631283097506607E-3</v>
      </c>
      <c r="J367" s="14">
        <f t="shared" si="75"/>
        <v>148.07497327285552</v>
      </c>
      <c r="K367" s="14">
        <f t="shared" si="80"/>
        <v>10.197959184438503</v>
      </c>
      <c r="L367" s="14">
        <f t="shared" si="80"/>
        <v>0.37927957192633949</v>
      </c>
      <c r="M367" s="20">
        <f t="shared" si="79"/>
        <v>2.1969536443007108E-2</v>
      </c>
    </row>
    <row r="368" spans="1:13" x14ac:dyDescent="0.25">
      <c r="A368" s="41">
        <v>41114</v>
      </c>
      <c r="B368">
        <v>2012.5630000000001</v>
      </c>
      <c r="C368" s="40">
        <f t="shared" si="69"/>
        <v>7875</v>
      </c>
      <c r="D368">
        <v>132.99</v>
      </c>
      <c r="E368" s="20">
        <f t="shared" si="70"/>
        <v>3.1831015504890365E-3</v>
      </c>
      <c r="F368" s="18">
        <f t="shared" si="71"/>
        <v>12.216603375997465</v>
      </c>
      <c r="G368" s="14">
        <f t="shared" si="72"/>
        <v>468.63054986579857</v>
      </c>
      <c r="H368" s="14">
        <f t="shared" si="74"/>
        <v>0.24417659294306304</v>
      </c>
      <c r="I368" s="19">
        <f t="shared" si="73"/>
        <v>5.2104284070466115E-4</v>
      </c>
      <c r="J368" s="14">
        <f t="shared" si="75"/>
        <v>148.31914986579858</v>
      </c>
      <c r="K368" s="14">
        <f t="shared" si="80"/>
        <v>10.442135777381566</v>
      </c>
      <c r="L368" s="14">
        <f t="shared" si="80"/>
        <v>0.37980061476704413</v>
      </c>
      <c r="M368" s="20">
        <f t="shared" si="79"/>
        <v>2.2490579283711769E-2</v>
      </c>
    </row>
    <row r="369" spans="1:13" x14ac:dyDescent="0.25">
      <c r="A369" s="41">
        <v>41121</v>
      </c>
      <c r="B369">
        <v>2012.5820000000001</v>
      </c>
      <c r="C369" s="40">
        <f t="shared" si="69"/>
        <v>7882</v>
      </c>
      <c r="D369">
        <v>134.79</v>
      </c>
      <c r="E369" s="20">
        <f t="shared" si="70"/>
        <v>2.8647913954398616E-2</v>
      </c>
      <c r="F369" s="18">
        <f t="shared" si="71"/>
        <v>12.245251289951863</v>
      </c>
      <c r="G369" s="14">
        <f t="shared" si="72"/>
        <v>470.83100254377285</v>
      </c>
      <c r="H369" s="14">
        <f t="shared" si="74"/>
        <v>2.2004526779742832</v>
      </c>
      <c r="I369" s="19">
        <f t="shared" si="73"/>
        <v>4.6735509473374336E-3</v>
      </c>
      <c r="J369" s="14">
        <f t="shared" si="75"/>
        <v>150.51960254377286</v>
      </c>
      <c r="K369" s="14">
        <f t="shared" si="80"/>
        <v>12.642588455355849</v>
      </c>
      <c r="L369" s="14">
        <f t="shared" si="80"/>
        <v>0.38447416571438159</v>
      </c>
      <c r="M369" s="20">
        <f t="shared" si="79"/>
        <v>2.7164130231049202E-2</v>
      </c>
    </row>
    <row r="370" spans="1:13" x14ac:dyDescent="0.25">
      <c r="A370" s="41">
        <v>41129</v>
      </c>
      <c r="B370">
        <v>2012.604</v>
      </c>
      <c r="C370" s="40">
        <f t="shared" si="69"/>
        <v>7890</v>
      </c>
      <c r="D370">
        <v>134.79</v>
      </c>
      <c r="E370" s="20">
        <f t="shared" si="70"/>
        <v>0</v>
      </c>
      <c r="F370" s="18">
        <f t="shared" si="71"/>
        <v>12.245251289951863</v>
      </c>
      <c r="G370" s="14">
        <f t="shared" si="72"/>
        <v>470.83100254377285</v>
      </c>
      <c r="H370" s="14">
        <f t="shared" si="74"/>
        <v>0</v>
      </c>
      <c r="I370" s="19">
        <f t="shared" si="73"/>
        <v>0</v>
      </c>
      <c r="J370" s="14">
        <f t="shared" si="75"/>
        <v>150.51960254377286</v>
      </c>
      <c r="K370" s="14">
        <f t="shared" si="80"/>
        <v>12.642588455355849</v>
      </c>
      <c r="L370" s="14">
        <f t="shared" si="80"/>
        <v>0.38447416571438159</v>
      </c>
      <c r="M370" s="20">
        <f t="shared" si="79"/>
        <v>2.7164130231049202E-2</v>
      </c>
    </row>
    <row r="371" spans="1:13" x14ac:dyDescent="0.25">
      <c r="A371" s="41">
        <v>41135</v>
      </c>
      <c r="B371">
        <v>2012.62</v>
      </c>
      <c r="C371" s="40">
        <f t="shared" si="69"/>
        <v>7896</v>
      </c>
      <c r="D371">
        <v>134.88999999999999</v>
      </c>
      <c r="E371" s="20">
        <f t="shared" si="70"/>
        <v>1.5915507752442921E-3</v>
      </c>
      <c r="F371" s="18">
        <f t="shared" si="71"/>
        <v>12.246842840727107</v>
      </c>
      <c r="G371" s="14">
        <f t="shared" si="72"/>
        <v>470.95340103557203</v>
      </c>
      <c r="H371" s="14">
        <f t="shared" si="74"/>
        <v>0.12239849179917428</v>
      </c>
      <c r="I371" s="19">
        <f t="shared" si="73"/>
        <v>2.5989512238373087E-4</v>
      </c>
      <c r="J371" s="14">
        <f t="shared" si="75"/>
        <v>150.64200103557204</v>
      </c>
      <c r="K371" s="14">
        <f t="shared" si="80"/>
        <v>12.764986947155023</v>
      </c>
      <c r="L371" s="14">
        <f t="shared" si="80"/>
        <v>0.38473406083676531</v>
      </c>
      <c r="M371" s="20">
        <f t="shared" si="79"/>
        <v>2.7424025353432933E-2</v>
      </c>
    </row>
    <row r="372" spans="1:13" x14ac:dyDescent="0.25">
      <c r="A372" s="41">
        <v>41142</v>
      </c>
      <c r="B372">
        <v>2012.6389999999999</v>
      </c>
      <c r="C372" s="40">
        <f t="shared" si="69"/>
        <v>7903</v>
      </c>
      <c r="D372">
        <v>134.88999999999999</v>
      </c>
      <c r="E372" s="20">
        <f t="shared" si="70"/>
        <v>0</v>
      </c>
      <c r="F372" s="18">
        <f t="shared" si="71"/>
        <v>12.246842840727107</v>
      </c>
      <c r="G372" s="14">
        <f t="shared" si="72"/>
        <v>470.95340103557203</v>
      </c>
      <c r="H372" s="14">
        <f t="shared" si="74"/>
        <v>0</v>
      </c>
      <c r="I372" s="19">
        <f t="shared" si="73"/>
        <v>0</v>
      </c>
      <c r="J372" s="14">
        <f t="shared" si="75"/>
        <v>150.64200103557204</v>
      </c>
      <c r="K372" s="14">
        <f t="shared" si="80"/>
        <v>12.764986947155023</v>
      </c>
      <c r="L372" s="14">
        <f t="shared" si="80"/>
        <v>0.38473406083676531</v>
      </c>
      <c r="M372" s="20">
        <f t="shared" si="79"/>
        <v>2.7424025353432933E-2</v>
      </c>
    </row>
    <row r="373" spans="1:13" x14ac:dyDescent="0.25">
      <c r="A373" s="41">
        <v>41149</v>
      </c>
      <c r="B373">
        <v>2012.6579999999999</v>
      </c>
      <c r="C373" s="40">
        <f t="shared" si="69"/>
        <v>7910</v>
      </c>
      <c r="D373">
        <v>134.88999999999999</v>
      </c>
      <c r="E373" s="20">
        <f t="shared" si="70"/>
        <v>0</v>
      </c>
      <c r="F373" s="18">
        <f t="shared" si="71"/>
        <v>12.246842840727107</v>
      </c>
      <c r="G373" s="14">
        <f t="shared" si="72"/>
        <v>470.95340103557203</v>
      </c>
      <c r="H373" s="14">
        <f t="shared" si="74"/>
        <v>0</v>
      </c>
      <c r="I373" s="19">
        <f t="shared" si="73"/>
        <v>0</v>
      </c>
      <c r="J373" s="14">
        <f t="shared" si="75"/>
        <v>150.64200103557204</v>
      </c>
      <c r="K373" s="14">
        <f t="shared" si="80"/>
        <v>12.764986947155023</v>
      </c>
      <c r="L373" s="14">
        <f t="shared" si="80"/>
        <v>0.38473406083676531</v>
      </c>
      <c r="M373" s="20">
        <f t="shared" si="79"/>
        <v>2.7424025353432933E-2</v>
      </c>
    </row>
    <row r="374" spans="1:13" x14ac:dyDescent="0.25">
      <c r="A374" s="41">
        <v>41156</v>
      </c>
      <c r="B374">
        <v>2012.6780000000001</v>
      </c>
      <c r="C374" s="40">
        <f t="shared" si="69"/>
        <v>7917</v>
      </c>
      <c r="D374">
        <v>134.88999999999999</v>
      </c>
      <c r="E374" s="20">
        <f t="shared" si="70"/>
        <v>0</v>
      </c>
      <c r="F374" s="18">
        <f t="shared" si="71"/>
        <v>12.246842840727107</v>
      </c>
      <c r="G374" s="14">
        <f t="shared" si="72"/>
        <v>470.95340103557203</v>
      </c>
      <c r="H374" s="14">
        <f t="shared" si="74"/>
        <v>0</v>
      </c>
      <c r="I374" s="19">
        <f t="shared" si="73"/>
        <v>0</v>
      </c>
      <c r="J374" s="14">
        <f t="shared" si="75"/>
        <v>150.64200103557204</v>
      </c>
      <c r="K374" s="14">
        <f t="shared" si="80"/>
        <v>12.764986947155023</v>
      </c>
      <c r="L374" s="14">
        <f t="shared" si="80"/>
        <v>0.38473406083676531</v>
      </c>
      <c r="M374" s="20">
        <f t="shared" si="79"/>
        <v>2.7424025353432933E-2</v>
      </c>
    </row>
    <row r="375" spans="1:13" x14ac:dyDescent="0.25">
      <c r="A375" s="41">
        <v>41163</v>
      </c>
      <c r="B375">
        <v>2012.6969999999999</v>
      </c>
      <c r="C375" s="40">
        <f t="shared" si="69"/>
        <v>7924</v>
      </c>
      <c r="D375">
        <v>134.79</v>
      </c>
      <c r="E375" s="20">
        <f t="shared" si="70"/>
        <v>-1.5915507752442921E-3</v>
      </c>
      <c r="F375" s="18">
        <f t="shared" si="71"/>
        <v>12.245251289951863</v>
      </c>
      <c r="G375" s="14">
        <f t="shared" si="72"/>
        <v>470.83100254377285</v>
      </c>
      <c r="H375" s="14">
        <f t="shared" si="74"/>
        <v>-0.12239849179917428</v>
      </c>
      <c r="I375" s="19">
        <f t="shared" si="73"/>
        <v>-2.5996268541767268E-4</v>
      </c>
      <c r="J375" s="14">
        <f t="shared" si="75"/>
        <v>150.51960254377286</v>
      </c>
      <c r="K375" s="14">
        <f t="shared" si="80"/>
        <v>12.642588455355849</v>
      </c>
      <c r="L375" s="14">
        <f t="shared" si="80"/>
        <v>0.38447409815134764</v>
      </c>
      <c r="M375" s="20">
        <f t="shared" si="79"/>
        <v>2.716406266801526E-2</v>
      </c>
    </row>
    <row r="376" spans="1:13" x14ac:dyDescent="0.25">
      <c r="A376" s="41">
        <v>41171</v>
      </c>
      <c r="B376">
        <v>2012.7190000000001</v>
      </c>
      <c r="C376" s="40">
        <f t="shared" si="69"/>
        <v>7932</v>
      </c>
      <c r="D376">
        <v>135.19</v>
      </c>
      <c r="E376" s="20">
        <f t="shared" si="70"/>
        <v>6.3662031009776212E-3</v>
      </c>
      <c r="F376" s="18">
        <f t="shared" si="71"/>
        <v>12.251617493052841</v>
      </c>
      <c r="G376" s="14">
        <f t="shared" si="72"/>
        <v>471.32069195568613</v>
      </c>
      <c r="H376" s="14">
        <f t="shared" si="74"/>
        <v>0.48968941191327531</v>
      </c>
      <c r="I376" s="19">
        <f t="shared" si="73"/>
        <v>1.0389728697914162E-3</v>
      </c>
      <c r="J376" s="14">
        <f t="shared" si="75"/>
        <v>151.00929195568614</v>
      </c>
      <c r="K376" s="14">
        <f t="shared" si="80"/>
        <v>13.132277867269124</v>
      </c>
      <c r="L376" s="14">
        <f t="shared" si="80"/>
        <v>0.38551307102113908</v>
      </c>
      <c r="M376" s="20">
        <f t="shared" si="79"/>
        <v>2.8203035537806675E-2</v>
      </c>
    </row>
    <row r="377" spans="1:13" x14ac:dyDescent="0.25">
      <c r="A377" s="41">
        <v>41177</v>
      </c>
      <c r="B377">
        <v>2012.7349999999999</v>
      </c>
      <c r="C377" s="40">
        <f t="shared" si="69"/>
        <v>7938</v>
      </c>
      <c r="D377">
        <v>136.29</v>
      </c>
      <c r="E377" s="20">
        <f t="shared" si="70"/>
        <v>1.7507058527688118E-2</v>
      </c>
      <c r="F377" s="18">
        <f t="shared" si="71"/>
        <v>12.269124551580529</v>
      </c>
      <c r="G377" s="14">
        <f t="shared" si="72"/>
        <v>472.66865020329578</v>
      </c>
      <c r="H377" s="14">
        <f t="shared" si="74"/>
        <v>1.3479582476096539</v>
      </c>
      <c r="I377" s="19">
        <f t="shared" si="73"/>
        <v>2.8518037890388841E-3</v>
      </c>
      <c r="J377" s="14">
        <f t="shared" si="75"/>
        <v>152.35725020329579</v>
      </c>
      <c r="K377" s="14">
        <f t="shared" si="80"/>
        <v>14.480236114878778</v>
      </c>
      <c r="L377" s="14">
        <f t="shared" si="80"/>
        <v>0.38836487481017795</v>
      </c>
      <c r="M377" s="20">
        <f t="shared" si="79"/>
        <v>3.1054839326845558E-2</v>
      </c>
    </row>
    <row r="378" spans="1:13" x14ac:dyDescent="0.25">
      <c r="A378" s="37">
        <v>41184</v>
      </c>
      <c r="B378">
        <v>2012.7539999999999</v>
      </c>
      <c r="C378" s="40">
        <f t="shared" si="69"/>
        <v>7945</v>
      </c>
      <c r="D378">
        <v>135.19</v>
      </c>
      <c r="E378" s="20">
        <f t="shared" si="70"/>
        <v>-1.7507058527688118E-2</v>
      </c>
      <c r="F378" s="18">
        <f t="shared" si="71"/>
        <v>12.251617493052841</v>
      </c>
      <c r="G378" s="14">
        <f t="shared" si="72"/>
        <v>471.32069195568613</v>
      </c>
      <c r="H378" s="14">
        <f t="shared" si="74"/>
        <v>-1.3479582476096539</v>
      </c>
      <c r="I378" s="19">
        <f t="shared" si="73"/>
        <v>-2.859959833328068E-3</v>
      </c>
      <c r="J378" s="14">
        <f t="shared" si="75"/>
        <v>151.00929195568614</v>
      </c>
      <c r="K378" s="14">
        <f t="shared" si="80"/>
        <v>13.132277867269124</v>
      </c>
      <c r="L378" s="14">
        <f t="shared" si="80"/>
        <v>0.38550491497684991</v>
      </c>
      <c r="M378" s="20">
        <f t="shared" si="79"/>
        <v>2.819487949351749E-2</v>
      </c>
    </row>
    <row r="379" spans="1:13" x14ac:dyDescent="0.25">
      <c r="A379" s="37">
        <v>41191</v>
      </c>
      <c r="B379">
        <v>2012.7729999999999</v>
      </c>
      <c r="C379" s="40">
        <f t="shared" si="69"/>
        <v>7952</v>
      </c>
      <c r="D379">
        <v>134.99</v>
      </c>
      <c r="E379" s="20">
        <f t="shared" si="70"/>
        <v>-3.1831015504885842E-3</v>
      </c>
      <c r="F379" s="18">
        <f t="shared" si="71"/>
        <v>12.248434391502352</v>
      </c>
      <c r="G379" s="14">
        <f t="shared" si="72"/>
        <v>471.07581543482405</v>
      </c>
      <c r="H379" s="14">
        <f t="shared" si="74"/>
        <v>-0.24487652086207845</v>
      </c>
      <c r="I379" s="19">
        <f t="shared" si="73"/>
        <v>-5.1982401311781727E-4</v>
      </c>
      <c r="J379" s="14">
        <f t="shared" si="75"/>
        <v>150.76441543482406</v>
      </c>
      <c r="K379" s="14">
        <f t="shared" si="80"/>
        <v>12.887401346407046</v>
      </c>
      <c r="L379" s="14">
        <f t="shared" si="80"/>
        <v>0.38498509096373207</v>
      </c>
      <c r="M379" s="20">
        <f t="shared" si="79"/>
        <v>2.7675055480399672E-2</v>
      </c>
    </row>
    <row r="380" spans="1:13" x14ac:dyDescent="0.25">
      <c r="A380" s="37">
        <v>41197</v>
      </c>
      <c r="B380">
        <v>2012.79</v>
      </c>
      <c r="C380" s="40">
        <f t="shared" si="69"/>
        <v>7958</v>
      </c>
      <c r="D380">
        <v>134.88999999999999</v>
      </c>
      <c r="E380" s="20">
        <f t="shared" si="70"/>
        <v>-1.5915507752447447E-3</v>
      </c>
      <c r="F380" s="18">
        <f t="shared" si="71"/>
        <v>12.246842840727107</v>
      </c>
      <c r="G380" s="14">
        <f t="shared" si="72"/>
        <v>470.95340103557203</v>
      </c>
      <c r="H380" s="14">
        <f t="shared" si="74"/>
        <v>-0.12241439925202258</v>
      </c>
      <c r="I380" s="19">
        <f t="shared" si="73"/>
        <v>-2.5992889951075303E-4</v>
      </c>
      <c r="J380" s="14">
        <f t="shared" si="75"/>
        <v>150.64200103557204</v>
      </c>
      <c r="K380" s="14">
        <f t="shared" ref="K380:L395" si="81">H380+K379</f>
        <v>12.764986947155023</v>
      </c>
      <c r="L380" s="14">
        <f t="shared" si="81"/>
        <v>0.3847251620642213</v>
      </c>
      <c r="M380" s="20">
        <f t="shared" si="79"/>
        <v>2.7415126580888918E-2</v>
      </c>
    </row>
    <row r="381" spans="1:13" x14ac:dyDescent="0.25">
      <c r="A381" s="37">
        <v>41205</v>
      </c>
      <c r="B381">
        <v>2012.8109999999999</v>
      </c>
      <c r="C381" s="40">
        <f t="shared" si="69"/>
        <v>7966</v>
      </c>
      <c r="D381">
        <v>135.59</v>
      </c>
      <c r="E381" s="20">
        <f t="shared" si="70"/>
        <v>1.1140855426710949E-2</v>
      </c>
      <c r="F381" s="18">
        <f t="shared" si="71"/>
        <v>12.257983696153818</v>
      </c>
      <c r="G381" s="14">
        <f t="shared" si="72"/>
        <v>471.8106358868427</v>
      </c>
      <c r="H381" s="14">
        <f t="shared" si="74"/>
        <v>0.85723485127067534</v>
      </c>
      <c r="I381" s="19">
        <f t="shared" si="73"/>
        <v>1.8169044656218207E-3</v>
      </c>
      <c r="J381" s="14">
        <f t="shared" si="75"/>
        <v>151.49923588684271</v>
      </c>
      <c r="K381" s="14">
        <f t="shared" si="81"/>
        <v>13.622221798425699</v>
      </c>
      <c r="L381" s="14">
        <f t="shared" si="81"/>
        <v>0.38654206652984313</v>
      </c>
      <c r="M381" s="20">
        <f t="shared" si="79"/>
        <v>2.9232031046510738E-2</v>
      </c>
    </row>
    <row r="382" spans="1:13" x14ac:dyDescent="0.25">
      <c r="A382" s="37">
        <v>41212</v>
      </c>
      <c r="B382">
        <v>2012.8309999999999</v>
      </c>
      <c r="C382" s="40">
        <f t="shared" si="69"/>
        <v>7973</v>
      </c>
      <c r="D382">
        <v>136.49</v>
      </c>
      <c r="E382" s="20">
        <f t="shared" si="70"/>
        <v>1.4323956977199534E-2</v>
      </c>
      <c r="F382" s="18">
        <f t="shared" si="71"/>
        <v>12.272307653131017</v>
      </c>
      <c r="G382" s="14">
        <f t="shared" si="72"/>
        <v>472.91394031792822</v>
      </c>
      <c r="H382" s="14">
        <f t="shared" si="74"/>
        <v>1.1033044310855189</v>
      </c>
      <c r="I382" s="19">
        <f t="shared" si="73"/>
        <v>2.3329919823124583E-3</v>
      </c>
      <c r="J382" s="14">
        <f t="shared" si="75"/>
        <v>152.60254031792823</v>
      </c>
      <c r="K382" s="14">
        <f t="shared" si="81"/>
        <v>14.725526229511217</v>
      </c>
      <c r="L382" s="14">
        <f t="shared" si="81"/>
        <v>0.38887505851215559</v>
      </c>
      <c r="M382" s="20">
        <f t="shared" si="79"/>
        <v>3.1565023028823198E-2</v>
      </c>
    </row>
    <row r="383" spans="1:13" x14ac:dyDescent="0.25">
      <c r="A383" s="37">
        <v>41226</v>
      </c>
      <c r="B383">
        <v>2012.8689999999999</v>
      </c>
      <c r="C383" s="40">
        <f t="shared" si="69"/>
        <v>7987</v>
      </c>
      <c r="D383">
        <v>135.49</v>
      </c>
      <c r="E383" s="20">
        <f t="shared" si="70"/>
        <v>-1.5915507752443828E-2</v>
      </c>
      <c r="F383" s="18">
        <f t="shared" si="71"/>
        <v>12.256392145378573</v>
      </c>
      <c r="G383" s="14">
        <f t="shared" si="72"/>
        <v>471.68812604287439</v>
      </c>
      <c r="H383" s="14">
        <f t="shared" si="74"/>
        <v>-1.2258142750538354</v>
      </c>
      <c r="I383" s="19">
        <f t="shared" si="73"/>
        <v>-2.5987812865622449E-3</v>
      </c>
      <c r="J383" s="14">
        <f t="shared" si="75"/>
        <v>151.3767260428744</v>
      </c>
      <c r="K383" s="14">
        <f t="shared" si="81"/>
        <v>13.499711954457382</v>
      </c>
      <c r="L383" s="14">
        <f t="shared" si="81"/>
        <v>0.38627627722559332</v>
      </c>
      <c r="M383" s="20">
        <f t="shared" si="79"/>
        <v>2.8966241742260954E-2</v>
      </c>
    </row>
    <row r="384" spans="1:13" x14ac:dyDescent="0.25">
      <c r="A384" s="37">
        <v>41247</v>
      </c>
      <c r="B384">
        <v>2012.9259999999999</v>
      </c>
      <c r="C384" s="40">
        <f t="shared" si="69"/>
        <v>8008</v>
      </c>
      <c r="D384">
        <v>135.49</v>
      </c>
      <c r="E384" s="20">
        <f t="shared" si="70"/>
        <v>0</v>
      </c>
      <c r="F384" s="18">
        <f t="shared" si="71"/>
        <v>12.256392145378573</v>
      </c>
      <c r="G384" s="14">
        <f t="shared" si="72"/>
        <v>471.68812604287439</v>
      </c>
      <c r="H384" s="14">
        <f t="shared" si="74"/>
        <v>0</v>
      </c>
      <c r="I384" s="19">
        <f t="shared" si="73"/>
        <v>0</v>
      </c>
      <c r="J384" s="14">
        <f t="shared" si="75"/>
        <v>151.3767260428744</v>
      </c>
      <c r="K384" s="14">
        <f t="shared" si="81"/>
        <v>13.499711954457382</v>
      </c>
      <c r="L384" s="14">
        <f t="shared" si="81"/>
        <v>0.38627627722559332</v>
      </c>
      <c r="M384" s="20">
        <f t="shared" si="79"/>
        <v>2.8966241742260954E-2</v>
      </c>
    </row>
    <row r="385" spans="1:13" x14ac:dyDescent="0.25">
      <c r="A385" s="37">
        <v>41261</v>
      </c>
      <c r="B385">
        <v>2012.9639999999999</v>
      </c>
      <c r="C385" s="40">
        <f t="shared" si="69"/>
        <v>8022</v>
      </c>
      <c r="D385">
        <v>135.19</v>
      </c>
      <c r="E385" s="20">
        <f t="shared" si="70"/>
        <v>-4.7746523257333291E-3</v>
      </c>
      <c r="F385" s="18">
        <f t="shared" si="71"/>
        <v>12.251617493052839</v>
      </c>
      <c r="G385" s="14">
        <f t="shared" si="72"/>
        <v>471.32069195568596</v>
      </c>
      <c r="H385" s="14">
        <f t="shared" si="74"/>
        <v>-0.36743408718842829</v>
      </c>
      <c r="I385" s="19">
        <f t="shared" si="73"/>
        <v>-7.7958403579483589E-4</v>
      </c>
      <c r="J385" s="14">
        <f t="shared" si="75"/>
        <v>151.00929195568597</v>
      </c>
      <c r="K385" s="14">
        <f t="shared" si="81"/>
        <v>13.132277867268954</v>
      </c>
      <c r="L385" s="14">
        <f t="shared" si="81"/>
        <v>0.38549669318979851</v>
      </c>
      <c r="M385" s="20">
        <f t="shared" si="79"/>
        <v>2.8186657706466119E-2</v>
      </c>
    </row>
    <row r="386" spans="1:13" x14ac:dyDescent="0.25">
      <c r="A386" s="37">
        <v>41283</v>
      </c>
      <c r="B386">
        <v>2013.0250000000001</v>
      </c>
      <c r="C386" s="40">
        <f t="shared" ref="C386:C449" si="82">A386-33239</f>
        <v>8044</v>
      </c>
      <c r="D386">
        <v>134.59</v>
      </c>
      <c r="E386" s="20">
        <f t="shared" si="70"/>
        <v>-9.5493046514662054E-3</v>
      </c>
      <c r="F386" s="18">
        <f t="shared" si="71"/>
        <v>12.242068188401372</v>
      </c>
      <c r="G386" s="14">
        <f t="shared" si="72"/>
        <v>470.5862532825322</v>
      </c>
      <c r="H386" s="14">
        <f t="shared" si="74"/>
        <v>-0.7344386731537611</v>
      </c>
      <c r="I386" s="19">
        <f t="shared" si="73"/>
        <v>-1.5606887537210235E-3</v>
      </c>
      <c r="J386" s="14">
        <f t="shared" si="75"/>
        <v>150.27485328253221</v>
      </c>
      <c r="K386" s="14">
        <f>H386</f>
        <v>-0.7344386731537611</v>
      </c>
      <c r="L386" s="14">
        <f t="shared" si="81"/>
        <v>0.3839360044360775</v>
      </c>
      <c r="M386" s="20">
        <f>I386</f>
        <v>-1.5606887537210235E-3</v>
      </c>
    </row>
    <row r="387" spans="1:13" x14ac:dyDescent="0.25">
      <c r="A387" s="37">
        <v>41305</v>
      </c>
      <c r="B387">
        <v>2013.085</v>
      </c>
      <c r="C387" s="40">
        <f t="shared" si="82"/>
        <v>8066</v>
      </c>
      <c r="D387">
        <v>134.49</v>
      </c>
      <c r="E387" s="20">
        <f t="shared" ref="E387:E450" si="83">((D387-D386)/10)/(2*3.14159)</f>
        <v>-1.5915507752442921E-3</v>
      </c>
      <c r="F387" s="18">
        <f t="shared" ref="F387:F450" si="84">E387+F386</f>
        <v>12.240476637626129</v>
      </c>
      <c r="G387" s="14">
        <f t="shared" ref="G387:G450" si="85">3.14*(F387^2)</f>
        <v>470.46390251309111</v>
      </c>
      <c r="H387" s="14">
        <f t="shared" si="74"/>
        <v>-0.12235076944108414</v>
      </c>
      <c r="I387" s="19">
        <f t="shared" ref="I387:I450" si="86">H387/G387</f>
        <v>-2.6006409585840564E-4</v>
      </c>
      <c r="J387" s="14">
        <f t="shared" si="75"/>
        <v>150.15250251309112</v>
      </c>
      <c r="K387" s="14">
        <f t="shared" ref="K387:L402" si="87">H387+K386</f>
        <v>-0.85678944259484524</v>
      </c>
      <c r="L387" s="14">
        <f t="shared" si="81"/>
        <v>0.38367594034021912</v>
      </c>
      <c r="M387" s="20">
        <f t="shared" ref="M387:M422" si="88">I387+M386</f>
        <v>-1.8207528495794291E-3</v>
      </c>
    </row>
    <row r="388" spans="1:13" x14ac:dyDescent="0.25">
      <c r="A388" s="37">
        <v>41324</v>
      </c>
      <c r="B388">
        <v>2013.1369999999999</v>
      </c>
      <c r="C388" s="40">
        <f t="shared" si="82"/>
        <v>8085</v>
      </c>
      <c r="D388">
        <v>135.13999999999999</v>
      </c>
      <c r="E388" s="20">
        <f t="shared" si="83"/>
        <v>1.0345080039088126E-2</v>
      </c>
      <c r="F388" s="18">
        <f t="shared" si="84"/>
        <v>12.250821717665216</v>
      </c>
      <c r="G388" s="14">
        <f t="shared" si="85"/>
        <v>471.25946686017568</v>
      </c>
      <c r="H388" s="14">
        <f t="shared" ref="H388:H451" si="89">G388-G387</f>
        <v>0.79556434708456436</v>
      </c>
      <c r="I388" s="19">
        <f t="shared" si="86"/>
        <v>1.6881662927327697E-3</v>
      </c>
      <c r="J388" s="14">
        <f t="shared" ref="J388:J451" si="90">H388+J387</f>
        <v>150.94806686017569</v>
      </c>
      <c r="K388" s="14">
        <f t="shared" si="87"/>
        <v>-6.122509551028088E-2</v>
      </c>
      <c r="L388" s="14">
        <f t="shared" si="81"/>
        <v>0.3853641066329519</v>
      </c>
      <c r="M388" s="20">
        <f t="shared" si="88"/>
        <v>-1.3258655684665935E-4</v>
      </c>
    </row>
    <row r="389" spans="1:13" x14ac:dyDescent="0.25">
      <c r="A389" s="37">
        <v>41346</v>
      </c>
      <c r="B389">
        <v>2013.1969999999999</v>
      </c>
      <c r="C389" s="40">
        <f t="shared" si="82"/>
        <v>8107</v>
      </c>
      <c r="D389">
        <v>135.13999999999999</v>
      </c>
      <c r="E389" s="20">
        <f t="shared" si="83"/>
        <v>0</v>
      </c>
      <c r="F389" s="18">
        <f t="shared" si="84"/>
        <v>12.250821717665216</v>
      </c>
      <c r="G389" s="14">
        <f t="shared" si="85"/>
        <v>471.25946686017568</v>
      </c>
      <c r="H389" s="14">
        <f t="shared" si="89"/>
        <v>0</v>
      </c>
      <c r="I389" s="19">
        <f t="shared" si="86"/>
        <v>0</v>
      </c>
      <c r="J389" s="14">
        <f t="shared" si="90"/>
        <v>150.94806686017569</v>
      </c>
      <c r="K389" s="14">
        <f t="shared" si="87"/>
        <v>-6.122509551028088E-2</v>
      </c>
      <c r="L389" s="14">
        <f t="shared" si="81"/>
        <v>0.3853641066329519</v>
      </c>
      <c r="M389" s="20">
        <f t="shared" si="88"/>
        <v>-1.3258655684665935E-4</v>
      </c>
    </row>
    <row r="390" spans="1:13" x14ac:dyDescent="0.25">
      <c r="A390" s="37">
        <v>41353</v>
      </c>
      <c r="B390">
        <v>2013.2159999999999</v>
      </c>
      <c r="C390" s="40">
        <f t="shared" si="82"/>
        <v>8114</v>
      </c>
      <c r="D390">
        <v>135.04</v>
      </c>
      <c r="E390" s="20">
        <f t="shared" si="83"/>
        <v>-1.5915507752442921E-3</v>
      </c>
      <c r="F390" s="18">
        <f t="shared" si="84"/>
        <v>12.249230166889973</v>
      </c>
      <c r="G390" s="14">
        <f t="shared" si="85"/>
        <v>471.13702859974472</v>
      </c>
      <c r="H390" s="14">
        <f t="shared" si="89"/>
        <v>-0.12243826043095396</v>
      </c>
      <c r="I390" s="19">
        <f t="shared" si="86"/>
        <v>-2.5987823711256538E-4</v>
      </c>
      <c r="J390" s="14">
        <f t="shared" si="90"/>
        <v>150.82562859974473</v>
      </c>
      <c r="K390" s="14">
        <f t="shared" si="87"/>
        <v>-0.18366335594123484</v>
      </c>
      <c r="L390" s="14">
        <f t="shared" si="81"/>
        <v>0.38510422839583935</v>
      </c>
      <c r="M390" s="20">
        <f t="shared" si="88"/>
        <v>-3.9246479395922473E-4</v>
      </c>
    </row>
    <row r="391" spans="1:13" x14ac:dyDescent="0.25">
      <c r="A391" s="37">
        <v>41359</v>
      </c>
      <c r="B391">
        <v>2013.232</v>
      </c>
      <c r="C391" s="40">
        <f t="shared" si="82"/>
        <v>8120</v>
      </c>
      <c r="D391">
        <v>134.88999999999999</v>
      </c>
      <c r="E391" s="20">
        <f t="shared" si="83"/>
        <v>-2.3873261628666645E-3</v>
      </c>
      <c r="F391" s="18">
        <f t="shared" si="84"/>
        <v>12.246842840727107</v>
      </c>
      <c r="G391" s="14">
        <f t="shared" si="85"/>
        <v>470.95340103557203</v>
      </c>
      <c r="H391" s="14">
        <f t="shared" si="89"/>
        <v>-0.18362756417269566</v>
      </c>
      <c r="I391" s="19">
        <f t="shared" si="86"/>
        <v>-3.8990601568843095E-4</v>
      </c>
      <c r="J391" s="14">
        <f t="shared" si="90"/>
        <v>150.64200103557204</v>
      </c>
      <c r="K391" s="14">
        <f t="shared" si="87"/>
        <v>-0.3672909201139305</v>
      </c>
      <c r="L391" s="14">
        <f t="shared" si="81"/>
        <v>0.38471432238015091</v>
      </c>
      <c r="M391" s="20">
        <f t="shared" si="88"/>
        <v>-7.8237080964765567E-4</v>
      </c>
    </row>
    <row r="392" spans="1:13" x14ac:dyDescent="0.25">
      <c r="A392" s="37">
        <v>41367</v>
      </c>
      <c r="B392">
        <v>2013.2539999999999</v>
      </c>
      <c r="C392" s="40">
        <f t="shared" si="82"/>
        <v>8128</v>
      </c>
      <c r="D392">
        <v>134.79</v>
      </c>
      <c r="E392" s="20">
        <f t="shared" si="83"/>
        <v>-1.5915507752442921E-3</v>
      </c>
      <c r="F392" s="18">
        <f t="shared" si="84"/>
        <v>12.245251289951863</v>
      </c>
      <c r="G392" s="14">
        <f t="shared" si="85"/>
        <v>470.83100254377285</v>
      </c>
      <c r="H392" s="14">
        <f t="shared" si="89"/>
        <v>-0.12239849179917428</v>
      </c>
      <c r="I392" s="19">
        <f t="shared" si="86"/>
        <v>-2.5996268541767268E-4</v>
      </c>
      <c r="J392" s="14">
        <f t="shared" si="90"/>
        <v>150.51960254377286</v>
      </c>
      <c r="K392" s="14">
        <f t="shared" si="87"/>
        <v>-0.48968941191310478</v>
      </c>
      <c r="L392" s="14">
        <f t="shared" si="81"/>
        <v>0.38445435969473324</v>
      </c>
      <c r="M392" s="20">
        <f t="shared" si="88"/>
        <v>-1.0423334950653285E-3</v>
      </c>
    </row>
    <row r="393" spans="1:13" x14ac:dyDescent="0.25">
      <c r="A393" s="37">
        <v>41375</v>
      </c>
      <c r="B393">
        <v>2013.2760000000001</v>
      </c>
      <c r="C393" s="40">
        <f t="shared" si="82"/>
        <v>8136</v>
      </c>
      <c r="D393">
        <v>135.09</v>
      </c>
      <c r="E393" s="20">
        <f t="shared" si="83"/>
        <v>4.7746523257333291E-3</v>
      </c>
      <c r="F393" s="18">
        <f t="shared" si="84"/>
        <v>12.250025942277597</v>
      </c>
      <c r="G393" s="14">
        <f t="shared" si="85"/>
        <v>471.19824574152886</v>
      </c>
      <c r="H393" s="14">
        <f t="shared" si="89"/>
        <v>0.36724319775601089</v>
      </c>
      <c r="I393" s="19">
        <f t="shared" si="86"/>
        <v>7.7938150465326329E-4</v>
      </c>
      <c r="J393" s="14">
        <f t="shared" si="90"/>
        <v>150.88684574152887</v>
      </c>
      <c r="K393" s="14">
        <f t="shared" si="87"/>
        <v>-0.12244621415709389</v>
      </c>
      <c r="L393" s="14">
        <f t="shared" si="81"/>
        <v>0.38523374119938653</v>
      </c>
      <c r="M393" s="20">
        <f t="shared" si="88"/>
        <v>-2.6295199041206517E-4</v>
      </c>
    </row>
    <row r="394" spans="1:13" x14ac:dyDescent="0.25">
      <c r="A394" s="37">
        <v>41381</v>
      </c>
      <c r="B394">
        <v>2013.2919999999999</v>
      </c>
      <c r="C394" s="40">
        <f t="shared" si="82"/>
        <v>8142</v>
      </c>
      <c r="D394">
        <v>135.09</v>
      </c>
      <c r="E394" s="20">
        <f t="shared" si="83"/>
        <v>0</v>
      </c>
      <c r="F394" s="18">
        <f t="shared" si="84"/>
        <v>12.250025942277597</v>
      </c>
      <c r="G394" s="14">
        <f t="shared" si="85"/>
        <v>471.19824574152886</v>
      </c>
      <c r="H394" s="14">
        <f t="shared" si="89"/>
        <v>0</v>
      </c>
      <c r="I394" s="19">
        <f t="shared" si="86"/>
        <v>0</v>
      </c>
      <c r="J394" s="14">
        <f t="shared" si="90"/>
        <v>150.88684574152887</v>
      </c>
      <c r="K394" s="14">
        <f t="shared" si="87"/>
        <v>-0.12244621415709389</v>
      </c>
      <c r="L394" s="14">
        <f t="shared" si="81"/>
        <v>0.38523374119938653</v>
      </c>
      <c r="M394" s="20">
        <f t="shared" si="88"/>
        <v>-2.6295199041206517E-4</v>
      </c>
    </row>
    <row r="395" spans="1:13" x14ac:dyDescent="0.25">
      <c r="A395" s="37">
        <v>41386</v>
      </c>
      <c r="B395">
        <v>2013.306</v>
      </c>
      <c r="C395" s="40">
        <f t="shared" si="82"/>
        <v>8147</v>
      </c>
      <c r="D395">
        <v>135.69</v>
      </c>
      <c r="E395" s="20">
        <f t="shared" si="83"/>
        <v>9.5493046514662054E-3</v>
      </c>
      <c r="F395" s="18">
        <f t="shared" si="84"/>
        <v>12.259575246929064</v>
      </c>
      <c r="G395" s="14">
        <f t="shared" si="85"/>
        <v>471.9331616382637</v>
      </c>
      <c r="H395" s="14">
        <f t="shared" si="89"/>
        <v>0.73491589673483304</v>
      </c>
      <c r="I395" s="19">
        <f t="shared" si="86"/>
        <v>1.5572457213721832E-3</v>
      </c>
      <c r="J395" s="14">
        <f t="shared" si="90"/>
        <v>151.62176163826371</v>
      </c>
      <c r="K395" s="14">
        <f t="shared" si="87"/>
        <v>0.61246968257773915</v>
      </c>
      <c r="L395" s="14">
        <f t="shared" si="81"/>
        <v>0.38679098692075869</v>
      </c>
      <c r="M395" s="20">
        <f t="shared" si="88"/>
        <v>1.2942937309601181E-3</v>
      </c>
    </row>
    <row r="396" spans="1:13" x14ac:dyDescent="0.25">
      <c r="A396" s="37">
        <v>41394</v>
      </c>
      <c r="B396">
        <v>2013.328</v>
      </c>
      <c r="C396" s="40">
        <f t="shared" si="82"/>
        <v>8155</v>
      </c>
      <c r="D396">
        <v>135.49</v>
      </c>
      <c r="E396" s="20">
        <f t="shared" si="83"/>
        <v>-3.1831015504885842E-3</v>
      </c>
      <c r="F396" s="18">
        <f t="shared" si="84"/>
        <v>12.256392145378575</v>
      </c>
      <c r="G396" s="14">
        <f t="shared" si="85"/>
        <v>471.68812604287456</v>
      </c>
      <c r="H396" s="14">
        <f t="shared" si="89"/>
        <v>-0.24503559538914033</v>
      </c>
      <c r="I396" s="19">
        <f t="shared" si="86"/>
        <v>-5.1948646120226387E-4</v>
      </c>
      <c r="J396" s="14">
        <f t="shared" si="90"/>
        <v>151.37672604287457</v>
      </c>
      <c r="K396" s="14">
        <f t="shared" si="87"/>
        <v>0.36743408718859882</v>
      </c>
      <c r="L396" s="14">
        <f t="shared" si="87"/>
        <v>0.38627150045955644</v>
      </c>
      <c r="M396" s="20">
        <f t="shared" si="88"/>
        <v>7.7480726975785426E-4</v>
      </c>
    </row>
    <row r="397" spans="1:13" x14ac:dyDescent="0.25">
      <c r="A397" s="37">
        <v>41401</v>
      </c>
      <c r="B397">
        <v>2013.347</v>
      </c>
      <c r="C397" s="40">
        <f t="shared" si="82"/>
        <v>8162</v>
      </c>
      <c r="D397">
        <v>135.59</v>
      </c>
      <c r="E397" s="20">
        <f t="shared" si="83"/>
        <v>1.5915507752442921E-3</v>
      </c>
      <c r="F397" s="18">
        <f t="shared" si="84"/>
        <v>12.257983696153818</v>
      </c>
      <c r="G397" s="14">
        <f t="shared" si="85"/>
        <v>471.8106358868427</v>
      </c>
      <c r="H397" s="14">
        <f t="shared" si="89"/>
        <v>0.12250984396814601</v>
      </c>
      <c r="I397" s="19">
        <f t="shared" si="86"/>
        <v>2.5965892807369506E-4</v>
      </c>
      <c r="J397" s="14">
        <f t="shared" si="90"/>
        <v>151.49923588684271</v>
      </c>
      <c r="K397" s="14">
        <f t="shared" si="87"/>
        <v>0.48994393115674484</v>
      </c>
      <c r="L397" s="14">
        <f t="shared" si="87"/>
        <v>0.38653115938763011</v>
      </c>
      <c r="M397" s="20">
        <f t="shared" si="88"/>
        <v>1.0344661978315493E-3</v>
      </c>
    </row>
    <row r="398" spans="1:13" x14ac:dyDescent="0.25">
      <c r="A398" s="37">
        <v>41408</v>
      </c>
      <c r="B398">
        <v>2013.366</v>
      </c>
      <c r="C398" s="40">
        <f t="shared" si="82"/>
        <v>8169</v>
      </c>
      <c r="D398">
        <v>135.29</v>
      </c>
      <c r="E398" s="20">
        <f t="shared" si="83"/>
        <v>-4.7746523257333291E-3</v>
      </c>
      <c r="F398" s="18">
        <f t="shared" si="84"/>
        <v>12.253209043828084</v>
      </c>
      <c r="G398" s="14">
        <f t="shared" si="85"/>
        <v>471.44315407729613</v>
      </c>
      <c r="H398" s="14">
        <f t="shared" si="89"/>
        <v>-0.36748180954657528</v>
      </c>
      <c r="I398" s="19">
        <f t="shared" si="86"/>
        <v>-7.7948275707981601E-4</v>
      </c>
      <c r="J398" s="14">
        <f t="shared" si="90"/>
        <v>151.13175407729614</v>
      </c>
      <c r="K398" s="14">
        <f t="shared" si="87"/>
        <v>0.12246212161016956</v>
      </c>
      <c r="L398" s="14">
        <f t="shared" si="87"/>
        <v>0.38575167663055027</v>
      </c>
      <c r="M398" s="20">
        <f t="shared" si="88"/>
        <v>2.5498344075173326E-4</v>
      </c>
    </row>
    <row r="399" spans="1:13" x14ac:dyDescent="0.25">
      <c r="A399" s="37">
        <v>41415</v>
      </c>
      <c r="B399">
        <v>2013.385</v>
      </c>
      <c r="C399" s="40">
        <f t="shared" si="82"/>
        <v>8176</v>
      </c>
      <c r="D399">
        <v>135.29</v>
      </c>
      <c r="E399" s="20">
        <f t="shared" si="83"/>
        <v>0</v>
      </c>
      <c r="F399" s="18">
        <f t="shared" si="84"/>
        <v>12.253209043828084</v>
      </c>
      <c r="G399" s="14">
        <f t="shared" si="85"/>
        <v>471.44315407729613</v>
      </c>
      <c r="H399" s="14">
        <f t="shared" si="89"/>
        <v>0</v>
      </c>
      <c r="I399" s="19">
        <f t="shared" si="86"/>
        <v>0</v>
      </c>
      <c r="J399" s="14">
        <f t="shared" si="90"/>
        <v>151.13175407729614</v>
      </c>
      <c r="K399" s="14">
        <f t="shared" si="87"/>
        <v>0.12246212161016956</v>
      </c>
      <c r="L399" s="14">
        <f t="shared" si="87"/>
        <v>0.38575167663055027</v>
      </c>
      <c r="M399" s="20">
        <f t="shared" si="88"/>
        <v>2.5498344075173326E-4</v>
      </c>
    </row>
    <row r="400" spans="1:13" x14ac:dyDescent="0.25">
      <c r="A400" s="37">
        <v>41422</v>
      </c>
      <c r="B400">
        <v>2013.404</v>
      </c>
      <c r="C400" s="40">
        <f t="shared" si="82"/>
        <v>8183</v>
      </c>
      <c r="D400">
        <v>135.29</v>
      </c>
      <c r="E400" s="20">
        <f t="shared" si="83"/>
        <v>0</v>
      </c>
      <c r="F400" s="18">
        <f t="shared" si="84"/>
        <v>12.253209043828084</v>
      </c>
      <c r="G400" s="14">
        <f t="shared" si="85"/>
        <v>471.44315407729613</v>
      </c>
      <c r="H400" s="14">
        <f t="shared" si="89"/>
        <v>0</v>
      </c>
      <c r="I400" s="19">
        <f t="shared" si="86"/>
        <v>0</v>
      </c>
      <c r="J400" s="14">
        <f t="shared" si="90"/>
        <v>151.13175407729614</v>
      </c>
      <c r="K400" s="14">
        <f t="shared" si="87"/>
        <v>0.12246212161016956</v>
      </c>
      <c r="L400" s="14">
        <f t="shared" si="87"/>
        <v>0.38575167663055027</v>
      </c>
      <c r="M400" s="20">
        <f t="shared" si="88"/>
        <v>2.5498344075173326E-4</v>
      </c>
    </row>
    <row r="401" spans="1:13" x14ac:dyDescent="0.25">
      <c r="A401" s="37">
        <v>41429</v>
      </c>
      <c r="B401">
        <v>2013.423</v>
      </c>
      <c r="C401" s="40">
        <f t="shared" si="82"/>
        <v>8190</v>
      </c>
      <c r="D401">
        <v>134.99</v>
      </c>
      <c r="E401" s="20">
        <f t="shared" si="83"/>
        <v>-4.7746523257328763E-3</v>
      </c>
      <c r="F401" s="18">
        <f t="shared" si="84"/>
        <v>12.248434391502352</v>
      </c>
      <c r="G401" s="14">
        <f t="shared" si="85"/>
        <v>471.07581543482405</v>
      </c>
      <c r="H401" s="14">
        <f t="shared" si="89"/>
        <v>-0.36733864247207748</v>
      </c>
      <c r="I401" s="19">
        <f t="shared" si="86"/>
        <v>-7.7978667220054054E-4</v>
      </c>
      <c r="J401" s="14">
        <f t="shared" si="90"/>
        <v>150.76441543482406</v>
      </c>
      <c r="K401" s="14">
        <f t="shared" si="87"/>
        <v>-0.24487652086190792</v>
      </c>
      <c r="L401" s="14">
        <f t="shared" si="87"/>
        <v>0.38497188995834974</v>
      </c>
      <c r="M401" s="20">
        <f t="shared" si="88"/>
        <v>-5.2480323144880729E-4</v>
      </c>
    </row>
    <row r="402" spans="1:13" x14ac:dyDescent="0.25">
      <c r="A402" s="37">
        <v>41436</v>
      </c>
      <c r="B402">
        <v>2013.443</v>
      </c>
      <c r="C402" s="40">
        <f t="shared" si="82"/>
        <v>8197</v>
      </c>
      <c r="D402">
        <v>134.69</v>
      </c>
      <c r="E402" s="20">
        <f t="shared" si="83"/>
        <v>-4.7746523257333291E-3</v>
      </c>
      <c r="F402" s="18">
        <f t="shared" si="84"/>
        <v>12.243659739176618</v>
      </c>
      <c r="G402" s="14">
        <f t="shared" si="85"/>
        <v>470.70861995942613</v>
      </c>
      <c r="H402" s="14">
        <f t="shared" si="89"/>
        <v>-0.36719547539792075</v>
      </c>
      <c r="I402" s="19">
        <f t="shared" si="86"/>
        <v>-7.8009082440336881E-4</v>
      </c>
      <c r="J402" s="14">
        <f t="shared" si="90"/>
        <v>150.39721995942614</v>
      </c>
      <c r="K402" s="14">
        <f t="shared" si="87"/>
        <v>-0.61207199625982867</v>
      </c>
      <c r="L402" s="14">
        <f t="shared" si="87"/>
        <v>0.38419179913394635</v>
      </c>
      <c r="M402" s="20">
        <f t="shared" si="88"/>
        <v>-1.3048940558521762E-3</v>
      </c>
    </row>
    <row r="403" spans="1:13" x14ac:dyDescent="0.25">
      <c r="A403" s="37">
        <v>41443</v>
      </c>
      <c r="B403">
        <v>2013.462</v>
      </c>
      <c r="C403" s="40">
        <f t="shared" si="82"/>
        <v>8204</v>
      </c>
      <c r="D403">
        <v>134.69</v>
      </c>
      <c r="E403" s="20">
        <f t="shared" si="83"/>
        <v>0</v>
      </c>
      <c r="F403" s="18">
        <f t="shared" si="84"/>
        <v>12.243659739176618</v>
      </c>
      <c r="G403" s="14">
        <f t="shared" si="85"/>
        <v>470.70861995942613</v>
      </c>
      <c r="H403" s="14">
        <f t="shared" si="89"/>
        <v>0</v>
      </c>
      <c r="I403" s="19">
        <f t="shared" si="86"/>
        <v>0</v>
      </c>
      <c r="J403" s="14">
        <f t="shared" si="90"/>
        <v>150.39721995942614</v>
      </c>
      <c r="K403" s="14">
        <f t="shared" ref="K403:L418" si="91">H403+K402</f>
        <v>-0.61207199625982867</v>
      </c>
      <c r="L403" s="14">
        <f t="shared" si="91"/>
        <v>0.38419179913394635</v>
      </c>
      <c r="M403" s="20">
        <f t="shared" si="88"/>
        <v>-1.3048940558521762E-3</v>
      </c>
    </row>
    <row r="404" spans="1:13" x14ac:dyDescent="0.25">
      <c r="A404" s="37">
        <v>41450</v>
      </c>
      <c r="B404">
        <v>2013.481</v>
      </c>
      <c r="C404" s="40">
        <f t="shared" si="82"/>
        <v>8211</v>
      </c>
      <c r="D404">
        <v>134.74</v>
      </c>
      <c r="E404" s="20">
        <f t="shared" si="83"/>
        <v>7.9577538762237233E-4</v>
      </c>
      <c r="F404" s="18">
        <f t="shared" si="84"/>
        <v>12.24445551456424</v>
      </c>
      <c r="G404" s="14">
        <f t="shared" si="85"/>
        <v>470.76980926316793</v>
      </c>
      <c r="H404" s="14">
        <f t="shared" si="89"/>
        <v>6.118930374179854E-2</v>
      </c>
      <c r="I404" s="19">
        <f t="shared" si="86"/>
        <v>1.2997711947070235E-4</v>
      </c>
      <c r="J404" s="14">
        <f t="shared" si="90"/>
        <v>150.45840926316794</v>
      </c>
      <c r="K404" s="14">
        <f t="shared" si="91"/>
        <v>-0.55088269251803013</v>
      </c>
      <c r="L404" s="14">
        <f t="shared" si="91"/>
        <v>0.38432177625341707</v>
      </c>
      <c r="M404" s="20">
        <f t="shared" si="88"/>
        <v>-1.1749169363814739E-3</v>
      </c>
    </row>
    <row r="405" spans="1:13" x14ac:dyDescent="0.25">
      <c r="A405" s="37">
        <v>41457</v>
      </c>
      <c r="B405">
        <v>2013.5</v>
      </c>
      <c r="C405" s="40">
        <f t="shared" si="82"/>
        <v>8218</v>
      </c>
      <c r="D405">
        <v>134.69</v>
      </c>
      <c r="E405" s="20">
        <f t="shared" si="83"/>
        <v>-7.9577538762237233E-4</v>
      </c>
      <c r="F405" s="18">
        <f t="shared" si="84"/>
        <v>12.243659739176618</v>
      </c>
      <c r="G405" s="14">
        <f t="shared" si="85"/>
        <v>470.70861995942613</v>
      </c>
      <c r="H405" s="14">
        <f t="shared" si="89"/>
        <v>-6.118930374179854E-2</v>
      </c>
      <c r="I405" s="19">
        <f t="shared" si="86"/>
        <v>-1.2999401571841388E-4</v>
      </c>
      <c r="J405" s="14">
        <f t="shared" si="90"/>
        <v>150.39721995942614</v>
      </c>
      <c r="K405" s="14">
        <f t="shared" si="91"/>
        <v>-0.61207199625982867</v>
      </c>
      <c r="L405" s="14">
        <f t="shared" si="91"/>
        <v>0.38419178223769868</v>
      </c>
      <c r="M405" s="20">
        <f t="shared" si="88"/>
        <v>-1.3049109520998877E-3</v>
      </c>
    </row>
    <row r="406" spans="1:13" x14ac:dyDescent="0.25">
      <c r="A406" s="37">
        <v>41464</v>
      </c>
      <c r="B406">
        <v>2013.519</v>
      </c>
      <c r="C406" s="40">
        <f t="shared" si="82"/>
        <v>8225</v>
      </c>
      <c r="D406">
        <v>134.38999999999999</v>
      </c>
      <c r="E406" s="20">
        <f t="shared" si="83"/>
        <v>-4.7746523257333291E-3</v>
      </c>
      <c r="F406" s="18">
        <f t="shared" si="84"/>
        <v>12.238885086850884</v>
      </c>
      <c r="G406" s="14">
        <f t="shared" si="85"/>
        <v>470.34156765110265</v>
      </c>
      <c r="H406" s="14">
        <f t="shared" si="89"/>
        <v>-0.36705230832347979</v>
      </c>
      <c r="I406" s="19">
        <f t="shared" si="86"/>
        <v>-7.8039521396449827E-4</v>
      </c>
      <c r="J406" s="14">
        <f t="shared" si="90"/>
        <v>150.03016765110266</v>
      </c>
      <c r="K406" s="14">
        <f t="shared" si="91"/>
        <v>-0.97912430458330846</v>
      </c>
      <c r="L406" s="14">
        <f t="shared" si="91"/>
        <v>0.38341138702373417</v>
      </c>
      <c r="M406" s="20">
        <f t="shared" si="88"/>
        <v>-2.0853061660643861E-3</v>
      </c>
    </row>
    <row r="407" spans="1:13" x14ac:dyDescent="0.25">
      <c r="A407" s="37">
        <v>41471</v>
      </c>
      <c r="B407">
        <v>2013.538</v>
      </c>
      <c r="C407" s="40">
        <f t="shared" si="82"/>
        <v>8232</v>
      </c>
      <c r="D407">
        <v>134.69</v>
      </c>
      <c r="E407" s="20">
        <f t="shared" si="83"/>
        <v>4.7746523257333291E-3</v>
      </c>
      <c r="F407" s="18">
        <f t="shared" si="84"/>
        <v>12.243659739176618</v>
      </c>
      <c r="G407" s="14">
        <f t="shared" si="85"/>
        <v>470.70861995942613</v>
      </c>
      <c r="H407" s="14">
        <f t="shared" si="89"/>
        <v>0.36705230832347979</v>
      </c>
      <c r="I407" s="19">
        <f t="shared" si="86"/>
        <v>7.7978667217761758E-4</v>
      </c>
      <c r="J407" s="14">
        <f t="shared" si="90"/>
        <v>150.39721995942614</v>
      </c>
      <c r="K407" s="14">
        <f t="shared" si="91"/>
        <v>-0.61207199625982867</v>
      </c>
      <c r="L407" s="14">
        <f t="shared" si="91"/>
        <v>0.38419117369591177</v>
      </c>
      <c r="M407" s="20">
        <f t="shared" si="88"/>
        <v>-1.3055194938867685E-3</v>
      </c>
    </row>
    <row r="408" spans="1:13" x14ac:dyDescent="0.25">
      <c r="A408" s="37">
        <v>41478</v>
      </c>
      <c r="B408">
        <v>2013.557</v>
      </c>
      <c r="C408" s="40">
        <f t="shared" si="82"/>
        <v>8239</v>
      </c>
      <c r="D408">
        <v>134.59</v>
      </c>
      <c r="E408" s="20">
        <f t="shared" si="83"/>
        <v>-1.5915507752442921E-3</v>
      </c>
      <c r="F408" s="18">
        <f t="shared" si="84"/>
        <v>12.242068188401374</v>
      </c>
      <c r="G408" s="14">
        <f t="shared" si="85"/>
        <v>470.58625328253237</v>
      </c>
      <c r="H408" s="14">
        <f t="shared" si="89"/>
        <v>-0.12236667689376191</v>
      </c>
      <c r="I408" s="19">
        <f t="shared" si="86"/>
        <v>-2.6003028358819255E-4</v>
      </c>
      <c r="J408" s="14">
        <f t="shared" si="90"/>
        <v>150.27485328253238</v>
      </c>
      <c r="K408" s="14">
        <f t="shared" si="91"/>
        <v>-0.73443867315359057</v>
      </c>
      <c r="L408" s="14">
        <f t="shared" si="91"/>
        <v>0.38393114341232359</v>
      </c>
      <c r="M408" s="20">
        <f t="shared" si="88"/>
        <v>-1.565549777474961E-3</v>
      </c>
    </row>
    <row r="409" spans="1:13" x14ac:dyDescent="0.25">
      <c r="A409" s="37">
        <v>41485</v>
      </c>
      <c r="B409">
        <v>2013.577</v>
      </c>
      <c r="C409" s="40">
        <f t="shared" si="82"/>
        <v>8246</v>
      </c>
      <c r="D409">
        <v>135.24</v>
      </c>
      <c r="E409" s="20">
        <f t="shared" si="83"/>
        <v>1.0345080039088579E-2</v>
      </c>
      <c r="F409" s="18">
        <f t="shared" si="84"/>
        <v>12.252413268440463</v>
      </c>
      <c r="G409" s="14">
        <f t="shared" si="85"/>
        <v>471.38192102805965</v>
      </c>
      <c r="H409" s="14">
        <f t="shared" si="89"/>
        <v>0.79566774552728248</v>
      </c>
      <c r="I409" s="19">
        <f t="shared" si="86"/>
        <v>1.6879470977418315E-3</v>
      </c>
      <c r="J409" s="14">
        <f t="shared" si="90"/>
        <v>151.07052102805966</v>
      </c>
      <c r="K409" s="14">
        <f t="shared" si="91"/>
        <v>6.1229072373691906E-2</v>
      </c>
      <c r="L409" s="14">
        <f t="shared" si="91"/>
        <v>0.38561909051006543</v>
      </c>
      <c r="M409" s="20">
        <f t="shared" si="88"/>
        <v>1.2239732026687053E-4</v>
      </c>
    </row>
    <row r="410" spans="1:13" x14ac:dyDescent="0.25">
      <c r="A410" s="37">
        <v>41492</v>
      </c>
      <c r="B410">
        <v>2013.596</v>
      </c>
      <c r="C410" s="40">
        <f t="shared" si="82"/>
        <v>8253</v>
      </c>
      <c r="D410">
        <v>135.59</v>
      </c>
      <c r="E410" s="20">
        <f t="shared" si="83"/>
        <v>5.5704277133552492E-3</v>
      </c>
      <c r="F410" s="18">
        <f t="shared" si="84"/>
        <v>12.257983696153818</v>
      </c>
      <c r="G410" s="14">
        <f t="shared" si="85"/>
        <v>471.8106358868427</v>
      </c>
      <c r="H410" s="14">
        <f t="shared" si="89"/>
        <v>0.42871485878305293</v>
      </c>
      <c r="I410" s="19">
        <f t="shared" si="86"/>
        <v>9.086587418217386E-4</v>
      </c>
      <c r="J410" s="14">
        <f t="shared" si="90"/>
        <v>151.49923588684271</v>
      </c>
      <c r="K410" s="14">
        <f t="shared" si="91"/>
        <v>0.48994393115674484</v>
      </c>
      <c r="L410" s="14">
        <f t="shared" si="91"/>
        <v>0.38652774925188715</v>
      </c>
      <c r="M410" s="20">
        <f t="shared" si="88"/>
        <v>1.0310560620886092E-3</v>
      </c>
    </row>
    <row r="411" spans="1:13" x14ac:dyDescent="0.25">
      <c r="A411" s="37">
        <v>41499</v>
      </c>
      <c r="B411">
        <v>2013.615</v>
      </c>
      <c r="C411" s="40">
        <f t="shared" si="82"/>
        <v>8260</v>
      </c>
      <c r="D411">
        <v>135.59</v>
      </c>
      <c r="E411" s="20">
        <f t="shared" si="83"/>
        <v>0</v>
      </c>
      <c r="F411" s="18">
        <f t="shared" si="84"/>
        <v>12.257983696153818</v>
      </c>
      <c r="G411" s="14">
        <f t="shared" si="85"/>
        <v>471.8106358868427</v>
      </c>
      <c r="H411" s="14">
        <f t="shared" si="89"/>
        <v>0</v>
      </c>
      <c r="I411" s="19">
        <f t="shared" si="86"/>
        <v>0</v>
      </c>
      <c r="J411" s="14">
        <f t="shared" si="90"/>
        <v>151.49923588684271</v>
      </c>
      <c r="K411" s="14">
        <f t="shared" si="91"/>
        <v>0.48994393115674484</v>
      </c>
      <c r="L411" s="14">
        <f t="shared" si="91"/>
        <v>0.38652774925188715</v>
      </c>
      <c r="M411" s="20">
        <f t="shared" si="88"/>
        <v>1.0310560620886092E-3</v>
      </c>
    </row>
    <row r="412" spans="1:13" x14ac:dyDescent="0.25">
      <c r="A412" s="37">
        <v>41506</v>
      </c>
      <c r="B412">
        <v>2013.634</v>
      </c>
      <c r="C412" s="40">
        <f t="shared" si="82"/>
        <v>8267</v>
      </c>
      <c r="D412">
        <v>135.74</v>
      </c>
      <c r="E412" s="20">
        <f t="shared" si="83"/>
        <v>2.3873261628666645E-3</v>
      </c>
      <c r="F412" s="18">
        <f t="shared" si="84"/>
        <v>12.260371022316685</v>
      </c>
      <c r="G412" s="14">
        <f t="shared" si="85"/>
        <v>471.99443047926877</v>
      </c>
      <c r="H412" s="14">
        <f t="shared" si="89"/>
        <v>0.18379459242606799</v>
      </c>
      <c r="I412" s="19">
        <f t="shared" si="86"/>
        <v>3.8939991779021792E-4</v>
      </c>
      <c r="J412" s="14">
        <f t="shared" si="90"/>
        <v>151.68303047926878</v>
      </c>
      <c r="K412" s="14">
        <f t="shared" si="91"/>
        <v>0.67373852358281283</v>
      </c>
      <c r="L412" s="14">
        <f t="shared" si="91"/>
        <v>0.3869171491696774</v>
      </c>
      <c r="M412" s="20">
        <f t="shared" si="88"/>
        <v>1.4204559798788271E-3</v>
      </c>
    </row>
    <row r="413" spans="1:13" x14ac:dyDescent="0.25">
      <c r="A413" s="37">
        <v>41513</v>
      </c>
      <c r="B413">
        <v>2013.653</v>
      </c>
      <c r="C413" s="40">
        <f t="shared" si="82"/>
        <v>8274</v>
      </c>
      <c r="D413">
        <v>135.69</v>
      </c>
      <c r="E413" s="20">
        <f t="shared" si="83"/>
        <v>-7.9577538762237233E-4</v>
      </c>
      <c r="F413" s="18">
        <f t="shared" si="84"/>
        <v>12.259575246929062</v>
      </c>
      <c r="G413" s="14">
        <f t="shared" si="85"/>
        <v>471.93316163826353</v>
      </c>
      <c r="H413" s="14">
        <f t="shared" si="89"/>
        <v>-6.1268841005244212E-2</v>
      </c>
      <c r="I413" s="19">
        <f t="shared" si="86"/>
        <v>-1.2982525066167471E-4</v>
      </c>
      <c r="J413" s="14">
        <f t="shared" si="90"/>
        <v>151.62176163826354</v>
      </c>
      <c r="K413" s="14">
        <f t="shared" si="91"/>
        <v>0.61246968257756862</v>
      </c>
      <c r="L413" s="14">
        <f t="shared" si="91"/>
        <v>0.38678732391901571</v>
      </c>
      <c r="M413" s="20">
        <f t="shared" si="88"/>
        <v>1.2906307292171524E-3</v>
      </c>
    </row>
    <row r="414" spans="1:13" x14ac:dyDescent="0.25">
      <c r="A414" s="37">
        <v>41520</v>
      </c>
      <c r="B414">
        <v>2013.672</v>
      </c>
      <c r="C414" s="40">
        <f t="shared" si="82"/>
        <v>8281</v>
      </c>
      <c r="D414">
        <v>135.84</v>
      </c>
      <c r="E414" s="20">
        <f t="shared" si="83"/>
        <v>2.3873261628666645E-3</v>
      </c>
      <c r="F414" s="18">
        <f t="shared" si="84"/>
        <v>12.261962573091928</v>
      </c>
      <c r="G414" s="14">
        <f t="shared" si="85"/>
        <v>472.1169800918687</v>
      </c>
      <c r="H414" s="14">
        <f t="shared" si="89"/>
        <v>0.18381845360516991</v>
      </c>
      <c r="I414" s="19">
        <f t="shared" si="86"/>
        <v>3.8934938025190471E-4</v>
      </c>
      <c r="J414" s="14">
        <f t="shared" si="90"/>
        <v>151.80558009186871</v>
      </c>
      <c r="K414" s="14">
        <f t="shared" si="91"/>
        <v>0.79628813618273853</v>
      </c>
      <c r="L414" s="14">
        <f t="shared" si="91"/>
        <v>0.38717667329926764</v>
      </c>
      <c r="M414" s="20">
        <f t="shared" si="88"/>
        <v>1.6799801094690573E-3</v>
      </c>
    </row>
    <row r="415" spans="1:13" x14ac:dyDescent="0.25">
      <c r="A415" s="37">
        <v>41527</v>
      </c>
      <c r="B415">
        <v>2013.691</v>
      </c>
      <c r="C415" s="40">
        <f t="shared" si="82"/>
        <v>8288</v>
      </c>
      <c r="D415">
        <v>135.99</v>
      </c>
      <c r="E415" s="20">
        <f t="shared" si="83"/>
        <v>2.3873261628666645E-3</v>
      </c>
      <c r="F415" s="18">
        <f t="shared" si="84"/>
        <v>12.264349899254794</v>
      </c>
      <c r="G415" s="14">
        <f t="shared" si="85"/>
        <v>472.30083433724246</v>
      </c>
      <c r="H415" s="14">
        <f t="shared" si="89"/>
        <v>0.18385424537376593</v>
      </c>
      <c r="I415" s="19">
        <f t="shared" si="86"/>
        <v>3.8927359853547567E-4</v>
      </c>
      <c r="J415" s="14">
        <f t="shared" si="90"/>
        <v>151.98943433724247</v>
      </c>
      <c r="K415" s="14">
        <f t="shared" si="91"/>
        <v>0.98014238155650446</v>
      </c>
      <c r="L415" s="14">
        <f t="shared" si="91"/>
        <v>0.3875659468978031</v>
      </c>
      <c r="M415" s="20">
        <f t="shared" si="88"/>
        <v>2.0692537080045331E-3</v>
      </c>
    </row>
    <row r="416" spans="1:13" x14ac:dyDescent="0.25">
      <c r="A416" s="37">
        <v>41535</v>
      </c>
      <c r="B416">
        <v>2013.713</v>
      </c>
      <c r="C416" s="40">
        <f t="shared" si="82"/>
        <v>8296</v>
      </c>
      <c r="D416">
        <v>137.79</v>
      </c>
      <c r="E416" s="20">
        <f t="shared" si="83"/>
        <v>2.8647913954398616E-2</v>
      </c>
      <c r="F416" s="18">
        <f t="shared" si="84"/>
        <v>12.292997813209192</v>
      </c>
      <c r="G416" s="14">
        <f t="shared" si="85"/>
        <v>474.50987703967718</v>
      </c>
      <c r="H416" s="14">
        <f t="shared" si="89"/>
        <v>2.209042702434715</v>
      </c>
      <c r="I416" s="19">
        <f t="shared" si="86"/>
        <v>4.6554198538843079E-3</v>
      </c>
      <c r="J416" s="14">
        <f t="shared" si="90"/>
        <v>154.19847703967719</v>
      </c>
      <c r="K416" s="14">
        <f t="shared" si="91"/>
        <v>3.1891850839912195</v>
      </c>
      <c r="L416" s="14">
        <f t="shared" si="91"/>
        <v>0.39222136675168739</v>
      </c>
      <c r="M416" s="20">
        <f t="shared" si="88"/>
        <v>6.7246735618888415E-3</v>
      </c>
    </row>
    <row r="417" spans="1:13" x14ac:dyDescent="0.25">
      <c r="A417" s="37">
        <v>41542</v>
      </c>
      <c r="B417">
        <v>2013.732</v>
      </c>
      <c r="C417" s="40">
        <f t="shared" si="82"/>
        <v>8303</v>
      </c>
      <c r="D417">
        <v>137.69</v>
      </c>
      <c r="E417" s="20">
        <f t="shared" si="83"/>
        <v>-1.5915507752442921E-3</v>
      </c>
      <c r="F417" s="18">
        <f t="shared" si="84"/>
        <v>12.291406262433949</v>
      </c>
      <c r="G417" s="14">
        <f t="shared" si="85"/>
        <v>474.38701723174955</v>
      </c>
      <c r="H417" s="14">
        <f t="shared" si="89"/>
        <v>-0.1228598079276253</v>
      </c>
      <c r="I417" s="19">
        <f t="shared" si="86"/>
        <v>-2.5898644664553561E-4</v>
      </c>
      <c r="J417" s="14">
        <f t="shared" si="90"/>
        <v>154.07561723174956</v>
      </c>
      <c r="K417" s="14">
        <f t="shared" si="91"/>
        <v>3.0663252760635942</v>
      </c>
      <c r="L417" s="14">
        <f t="shared" si="91"/>
        <v>0.39196238030504188</v>
      </c>
      <c r="M417" s="20">
        <f t="shared" si="88"/>
        <v>6.4656871152433057E-3</v>
      </c>
    </row>
    <row r="418" spans="1:13" x14ac:dyDescent="0.25">
      <c r="A418" s="37">
        <v>41569</v>
      </c>
      <c r="B418">
        <v>2013.806</v>
      </c>
      <c r="C418" s="40">
        <f t="shared" si="82"/>
        <v>8330</v>
      </c>
      <c r="D418">
        <v>137.99</v>
      </c>
      <c r="E418" s="20">
        <f t="shared" si="83"/>
        <v>4.7746523257333291E-3</v>
      </c>
      <c r="F418" s="18">
        <f t="shared" si="84"/>
        <v>12.296180914759683</v>
      </c>
      <c r="G418" s="14">
        <f t="shared" si="85"/>
        <v>474.75564437789086</v>
      </c>
      <c r="H418" s="14">
        <f t="shared" si="89"/>
        <v>0.36862714614130709</v>
      </c>
      <c r="I418" s="19">
        <f t="shared" si="86"/>
        <v>7.7645658457488765E-4</v>
      </c>
      <c r="J418" s="14">
        <f t="shared" si="90"/>
        <v>154.44424437789087</v>
      </c>
      <c r="K418" s="14">
        <f t="shared" si="91"/>
        <v>3.4349524222049013</v>
      </c>
      <c r="L418" s="14">
        <f t="shared" si="91"/>
        <v>0.39273883688961675</v>
      </c>
      <c r="M418" s="20">
        <f t="shared" si="88"/>
        <v>7.2421436998181933E-3</v>
      </c>
    </row>
    <row r="419" spans="1:13" x14ac:dyDescent="0.25">
      <c r="A419" s="37">
        <v>41576</v>
      </c>
      <c r="B419">
        <v>2013.825</v>
      </c>
      <c r="C419" s="40">
        <f t="shared" si="82"/>
        <v>8337</v>
      </c>
      <c r="D419">
        <v>138.09</v>
      </c>
      <c r="E419" s="20">
        <f t="shared" si="83"/>
        <v>1.5915507752442921E-3</v>
      </c>
      <c r="F419" s="18">
        <f t="shared" si="84"/>
        <v>12.297772465534926</v>
      </c>
      <c r="G419" s="14">
        <f t="shared" si="85"/>
        <v>474.87855190817658</v>
      </c>
      <c r="H419" s="14">
        <f t="shared" si="89"/>
        <v>0.12290753028571544</v>
      </c>
      <c r="I419" s="19">
        <f t="shared" si="86"/>
        <v>2.5881887019711322E-4</v>
      </c>
      <c r="J419" s="14">
        <f t="shared" si="90"/>
        <v>154.56715190817658</v>
      </c>
      <c r="K419" s="14">
        <f t="shared" ref="K419:L434" si="92">H419+K418</f>
        <v>3.5578599524906167</v>
      </c>
      <c r="L419" s="14">
        <f t="shared" si="92"/>
        <v>0.39299765575981388</v>
      </c>
      <c r="M419" s="20">
        <f t="shared" si="88"/>
        <v>7.5009625700153066E-3</v>
      </c>
    </row>
    <row r="420" spans="1:13" x14ac:dyDescent="0.25">
      <c r="A420" s="37">
        <v>41585</v>
      </c>
      <c r="B420">
        <v>2013.85</v>
      </c>
      <c r="C420" s="40">
        <f t="shared" si="82"/>
        <v>8346</v>
      </c>
      <c r="D420">
        <v>138.54</v>
      </c>
      <c r="E420" s="20">
        <f t="shared" si="83"/>
        <v>7.1619784885995404E-3</v>
      </c>
      <c r="F420" s="18">
        <f t="shared" si="84"/>
        <v>12.304934444023527</v>
      </c>
      <c r="G420" s="14">
        <f t="shared" si="85"/>
        <v>475.43183264919003</v>
      </c>
      <c r="H420" s="14">
        <f t="shared" si="89"/>
        <v>0.55328074101345237</v>
      </c>
      <c r="I420" s="19">
        <f t="shared" si="86"/>
        <v>1.1637435758781118E-3</v>
      </c>
      <c r="J420" s="14">
        <f t="shared" si="90"/>
        <v>155.12043264919004</v>
      </c>
      <c r="K420" s="14">
        <f t="shared" si="92"/>
        <v>4.1111406935040691</v>
      </c>
      <c r="L420" s="14">
        <f t="shared" si="92"/>
        <v>0.394161399335692</v>
      </c>
      <c r="M420" s="20">
        <f t="shared" si="88"/>
        <v>8.6647061458934183E-3</v>
      </c>
    </row>
    <row r="421" spans="1:13" x14ac:dyDescent="0.25">
      <c r="A421" s="37">
        <v>41611</v>
      </c>
      <c r="B421">
        <v>2013.921</v>
      </c>
      <c r="C421" s="40">
        <f t="shared" si="82"/>
        <v>8372</v>
      </c>
      <c r="D421">
        <v>139.09</v>
      </c>
      <c r="E421" s="20">
        <f t="shared" si="83"/>
        <v>8.7535292638442862E-3</v>
      </c>
      <c r="F421" s="18">
        <f t="shared" si="84"/>
        <v>12.313687973287371</v>
      </c>
      <c r="G421" s="14">
        <f t="shared" si="85"/>
        <v>476.10850212093362</v>
      </c>
      <c r="H421" s="14">
        <f t="shared" si="89"/>
        <v>0.67666947174359393</v>
      </c>
      <c r="I421" s="19">
        <f t="shared" si="86"/>
        <v>1.4212505526139858E-3</v>
      </c>
      <c r="J421" s="14">
        <f t="shared" si="90"/>
        <v>155.79710212093363</v>
      </c>
      <c r="K421" s="14">
        <f t="shared" si="92"/>
        <v>4.787810165247663</v>
      </c>
      <c r="L421" s="14">
        <f t="shared" si="92"/>
        <v>0.39558264988830599</v>
      </c>
      <c r="M421" s="20">
        <f t="shared" si="88"/>
        <v>1.0085956698507405E-2</v>
      </c>
    </row>
    <row r="422" spans="1:13" x14ac:dyDescent="0.25">
      <c r="A422" s="37">
        <v>41625</v>
      </c>
      <c r="B422">
        <v>2013.9590000000001</v>
      </c>
      <c r="C422" s="40">
        <f t="shared" si="82"/>
        <v>8386</v>
      </c>
      <c r="D422">
        <v>138.99</v>
      </c>
      <c r="E422" s="20">
        <f t="shared" si="83"/>
        <v>-1.5915507752442921E-3</v>
      </c>
      <c r="F422" s="18">
        <f t="shared" si="84"/>
        <v>12.312096422512127</v>
      </c>
      <c r="G422" s="14">
        <f t="shared" si="85"/>
        <v>475.98543551612084</v>
      </c>
      <c r="H422" s="14">
        <f t="shared" si="89"/>
        <v>-0.12306660481277731</v>
      </c>
      <c r="I422" s="19">
        <f t="shared" si="86"/>
        <v>-2.5855119848222592E-4</v>
      </c>
      <c r="J422" s="14">
        <f t="shared" si="90"/>
        <v>155.67403551612085</v>
      </c>
      <c r="K422" s="14">
        <f t="shared" si="92"/>
        <v>4.6647435604348857</v>
      </c>
      <c r="L422" s="14">
        <f t="shared" si="92"/>
        <v>0.39532409868982377</v>
      </c>
      <c r="M422" s="20">
        <f t="shared" si="88"/>
        <v>9.8274055000251784E-3</v>
      </c>
    </row>
    <row r="423" spans="1:13" x14ac:dyDescent="0.25">
      <c r="A423" s="8">
        <v>41653</v>
      </c>
      <c r="B423" s="42">
        <v>2014.038</v>
      </c>
      <c r="C423" s="40">
        <f t="shared" si="82"/>
        <v>8414</v>
      </c>
      <c r="D423">
        <v>137.69</v>
      </c>
      <c r="E423" s="20">
        <f t="shared" si="83"/>
        <v>-2.0690160078177158E-2</v>
      </c>
      <c r="F423" s="18">
        <f t="shared" si="84"/>
        <v>12.29140626243395</v>
      </c>
      <c r="G423" s="14">
        <f t="shared" si="85"/>
        <v>474.38701723174972</v>
      </c>
      <c r="H423" s="14">
        <f t="shared" si="89"/>
        <v>-1.598418284371121</v>
      </c>
      <c r="I423" s="19">
        <f t="shared" si="86"/>
        <v>-3.3694393529118323E-3</v>
      </c>
      <c r="J423" s="14">
        <f t="shared" si="90"/>
        <v>154.07561723174973</v>
      </c>
      <c r="K423" s="14">
        <f>H423</f>
        <v>-1.598418284371121</v>
      </c>
      <c r="L423" s="14">
        <f t="shared" si="92"/>
        <v>0.39195465933691193</v>
      </c>
      <c r="M423" s="20">
        <f>I423</f>
        <v>-3.3694393529118323E-3</v>
      </c>
    </row>
    <row r="424" spans="1:13" x14ac:dyDescent="0.25">
      <c r="A424" s="8">
        <v>41667</v>
      </c>
      <c r="B424" s="42">
        <v>2014.077</v>
      </c>
      <c r="C424" s="40">
        <f t="shared" si="82"/>
        <v>8428</v>
      </c>
      <c r="D424">
        <v>137.49</v>
      </c>
      <c r="E424" s="20">
        <f t="shared" si="83"/>
        <v>-3.1831015504885842E-3</v>
      </c>
      <c r="F424" s="18">
        <f t="shared" si="84"/>
        <v>12.288223160883462</v>
      </c>
      <c r="G424" s="14">
        <f t="shared" si="85"/>
        <v>474.14134533825234</v>
      </c>
      <c r="H424" s="14">
        <f t="shared" si="89"/>
        <v>-0.24567189349738783</v>
      </c>
      <c r="I424" s="19">
        <f t="shared" si="86"/>
        <v>-5.1814062602392448E-4</v>
      </c>
      <c r="J424" s="14">
        <f t="shared" si="90"/>
        <v>153.82994533825234</v>
      </c>
      <c r="K424" s="14">
        <f t="shared" ref="K424:L439" si="93">H424+K423</f>
        <v>-1.8440901778685088</v>
      </c>
      <c r="L424" s="14">
        <f t="shared" si="92"/>
        <v>0.39143651871088803</v>
      </c>
      <c r="M424" s="20">
        <f t="shared" ref="M424:M465" si="94">I424+M423</f>
        <v>-3.8875799789357566E-3</v>
      </c>
    </row>
    <row r="425" spans="1:13" x14ac:dyDescent="0.25">
      <c r="A425" s="8">
        <v>41681</v>
      </c>
      <c r="B425" s="42">
        <v>2014.115</v>
      </c>
      <c r="C425" s="40">
        <f t="shared" si="82"/>
        <v>8442</v>
      </c>
      <c r="D425">
        <v>137.19</v>
      </c>
      <c r="E425" s="20">
        <f t="shared" si="83"/>
        <v>-4.7746523257333291E-3</v>
      </c>
      <c r="F425" s="18">
        <f t="shared" si="84"/>
        <v>12.283448508557727</v>
      </c>
      <c r="G425" s="14">
        <f t="shared" si="85"/>
        <v>473.77295680390165</v>
      </c>
      <c r="H425" s="14">
        <f t="shared" si="89"/>
        <v>-0.36838853435068586</v>
      </c>
      <c r="I425" s="19">
        <f t="shared" si="86"/>
        <v>-7.7756344903232792E-4</v>
      </c>
      <c r="J425" s="14">
        <f t="shared" si="90"/>
        <v>153.46155680390166</v>
      </c>
      <c r="K425" s="14">
        <f t="shared" si="93"/>
        <v>-2.2124787122191947</v>
      </c>
      <c r="L425" s="14">
        <f t="shared" si="92"/>
        <v>0.39065895526185568</v>
      </c>
      <c r="M425" s="20">
        <f t="shared" si="94"/>
        <v>-4.6651434279680846E-3</v>
      </c>
    </row>
    <row r="426" spans="1:13" x14ac:dyDescent="0.25">
      <c r="A426" s="8">
        <v>41695</v>
      </c>
      <c r="B426" s="42">
        <v>2014.153</v>
      </c>
      <c r="C426" s="40">
        <f t="shared" si="82"/>
        <v>8456</v>
      </c>
      <c r="D426">
        <v>137.19</v>
      </c>
      <c r="E426" s="20">
        <f t="shared" si="83"/>
        <v>0</v>
      </c>
      <c r="F426" s="18">
        <f t="shared" si="84"/>
        <v>12.283448508557727</v>
      </c>
      <c r="G426" s="14">
        <f t="shared" si="85"/>
        <v>473.77295680390165</v>
      </c>
      <c r="H426" s="14">
        <f t="shared" si="89"/>
        <v>0</v>
      </c>
      <c r="I426" s="19">
        <f t="shared" si="86"/>
        <v>0</v>
      </c>
      <c r="J426" s="14">
        <f t="shared" si="90"/>
        <v>153.46155680390166</v>
      </c>
      <c r="K426" s="14">
        <f t="shared" si="93"/>
        <v>-2.2124787122191947</v>
      </c>
      <c r="L426" s="14">
        <f t="shared" si="92"/>
        <v>0.39065895526185568</v>
      </c>
      <c r="M426" s="20">
        <f t="shared" si="94"/>
        <v>-4.6651434279680846E-3</v>
      </c>
    </row>
    <row r="427" spans="1:13" x14ac:dyDescent="0.25">
      <c r="A427" s="8">
        <v>41702</v>
      </c>
      <c r="B427" s="42">
        <v>2014.172</v>
      </c>
      <c r="C427" s="40">
        <f t="shared" si="82"/>
        <v>8463</v>
      </c>
      <c r="D427">
        <v>137.74</v>
      </c>
      <c r="E427" s="20">
        <f t="shared" si="83"/>
        <v>8.7535292638442862E-3</v>
      </c>
      <c r="F427" s="18">
        <f t="shared" si="84"/>
        <v>12.292202037821571</v>
      </c>
      <c r="G427" s="14">
        <f t="shared" si="85"/>
        <v>474.44844514728186</v>
      </c>
      <c r="H427" s="14">
        <f t="shared" si="89"/>
        <v>0.67548834338020924</v>
      </c>
      <c r="I427" s="19">
        <f t="shared" si="86"/>
        <v>1.4237339173290347E-3</v>
      </c>
      <c r="J427" s="14">
        <f t="shared" si="90"/>
        <v>154.13704514728187</v>
      </c>
      <c r="K427" s="14">
        <f t="shared" si="93"/>
        <v>-1.5369903688389854</v>
      </c>
      <c r="L427" s="14">
        <f t="shared" si="92"/>
        <v>0.39208268917918471</v>
      </c>
      <c r="M427" s="20">
        <f t="shared" si="94"/>
        <v>-3.2414095106390499E-3</v>
      </c>
    </row>
    <row r="428" spans="1:13" x14ac:dyDescent="0.25">
      <c r="A428" s="8">
        <v>41710</v>
      </c>
      <c r="B428" s="42">
        <v>2014.194</v>
      </c>
      <c r="C428" s="40">
        <f t="shared" si="82"/>
        <v>8471</v>
      </c>
      <c r="D428">
        <v>137.79</v>
      </c>
      <c r="E428" s="20">
        <f t="shared" si="83"/>
        <v>7.9577538762192E-4</v>
      </c>
      <c r="F428" s="18">
        <f t="shared" si="84"/>
        <v>12.292997813209194</v>
      </c>
      <c r="G428" s="14">
        <f t="shared" si="85"/>
        <v>474.50987703967735</v>
      </c>
      <c r="H428" s="14">
        <f t="shared" si="89"/>
        <v>6.143189239548974E-2</v>
      </c>
      <c r="I428" s="19">
        <f t="shared" si="86"/>
        <v>1.2946388551223552E-4</v>
      </c>
      <c r="J428" s="14">
        <f t="shared" si="90"/>
        <v>154.19847703967736</v>
      </c>
      <c r="K428" s="14">
        <f t="shared" si="93"/>
        <v>-1.4755584764434957</v>
      </c>
      <c r="L428" s="14">
        <f t="shared" si="92"/>
        <v>0.39221215306469692</v>
      </c>
      <c r="M428" s="20">
        <f t="shared" si="94"/>
        <v>-3.1119456251268145E-3</v>
      </c>
    </row>
    <row r="429" spans="1:13" x14ac:dyDescent="0.25">
      <c r="A429" s="8">
        <v>41716</v>
      </c>
      <c r="B429" s="42">
        <v>2014.21</v>
      </c>
      <c r="C429" s="40">
        <f t="shared" si="82"/>
        <v>8477</v>
      </c>
      <c r="D429">
        <v>137.88999999999999</v>
      </c>
      <c r="E429" s="20">
        <f t="shared" si="83"/>
        <v>1.5915507752442921E-3</v>
      </c>
      <c r="F429" s="18">
        <f t="shared" si="84"/>
        <v>12.294589363984437</v>
      </c>
      <c r="G429" s="14">
        <f t="shared" si="85"/>
        <v>474.63275275505771</v>
      </c>
      <c r="H429" s="14">
        <f t="shared" si="89"/>
        <v>0.12287571538035991</v>
      </c>
      <c r="I429" s="19">
        <f t="shared" si="86"/>
        <v>2.58885874746558E-4</v>
      </c>
      <c r="J429" s="14">
        <f t="shared" si="90"/>
        <v>154.32135275505772</v>
      </c>
      <c r="K429" s="14">
        <f t="shared" si="93"/>
        <v>-1.3526827610631358</v>
      </c>
      <c r="L429" s="14">
        <f t="shared" si="92"/>
        <v>0.39247103893944346</v>
      </c>
      <c r="M429" s="20">
        <f t="shared" si="94"/>
        <v>-2.8530597503802564E-3</v>
      </c>
    </row>
    <row r="430" spans="1:13" x14ac:dyDescent="0.25">
      <c r="A430" s="8">
        <v>41723</v>
      </c>
      <c r="B430" s="42">
        <v>2014.23</v>
      </c>
      <c r="C430" s="40">
        <f t="shared" si="82"/>
        <v>8484</v>
      </c>
      <c r="D430">
        <v>136.88999999999999</v>
      </c>
      <c r="E430" s="20">
        <f t="shared" si="83"/>
        <v>-1.5915507752443828E-2</v>
      </c>
      <c r="F430" s="18">
        <f t="shared" si="84"/>
        <v>12.278673856231993</v>
      </c>
      <c r="G430" s="14">
        <f t="shared" si="85"/>
        <v>473.40471143662529</v>
      </c>
      <c r="H430" s="14">
        <f t="shared" si="89"/>
        <v>-1.2280413184324175</v>
      </c>
      <c r="I430" s="19">
        <f t="shared" si="86"/>
        <v>-2.5940623081374117E-3</v>
      </c>
      <c r="J430" s="14">
        <f t="shared" si="90"/>
        <v>153.0933114366253</v>
      </c>
      <c r="K430" s="14">
        <f t="shared" si="93"/>
        <v>-2.5807240794955533</v>
      </c>
      <c r="L430" s="14">
        <f t="shared" si="92"/>
        <v>0.38987697663130605</v>
      </c>
      <c r="M430" s="20">
        <f t="shared" si="94"/>
        <v>-5.4471220585176686E-3</v>
      </c>
    </row>
    <row r="431" spans="1:13" x14ac:dyDescent="0.25">
      <c r="A431" s="8">
        <v>41730</v>
      </c>
      <c r="B431" s="42">
        <v>2014.249</v>
      </c>
      <c r="C431" s="40">
        <f t="shared" si="82"/>
        <v>8491</v>
      </c>
      <c r="D431">
        <v>137.99</v>
      </c>
      <c r="E431" s="20">
        <f t="shared" si="83"/>
        <v>1.7507058527688572E-2</v>
      </c>
      <c r="F431" s="18">
        <f t="shared" si="84"/>
        <v>12.296180914759681</v>
      </c>
      <c r="G431" s="14">
        <f t="shared" si="85"/>
        <v>474.75564437789075</v>
      </c>
      <c r="H431" s="14">
        <f t="shared" si="89"/>
        <v>1.3509329412654552</v>
      </c>
      <c r="I431" s="19">
        <f t="shared" si="86"/>
        <v>2.8455331858891065E-3</v>
      </c>
      <c r="J431" s="14">
        <f t="shared" si="90"/>
        <v>154.44424437789075</v>
      </c>
      <c r="K431" s="14">
        <f t="shared" si="93"/>
        <v>-1.2297911382300981</v>
      </c>
      <c r="L431" s="14">
        <f t="shared" si="92"/>
        <v>0.39272250981719514</v>
      </c>
      <c r="M431" s="20">
        <f t="shared" si="94"/>
        <v>-2.601588872628562E-3</v>
      </c>
    </row>
    <row r="432" spans="1:13" x14ac:dyDescent="0.25">
      <c r="A432" s="8">
        <v>41737</v>
      </c>
      <c r="B432" s="42">
        <v>2014.268</v>
      </c>
      <c r="C432" s="40">
        <f t="shared" si="82"/>
        <v>8498</v>
      </c>
      <c r="D432">
        <v>138.19</v>
      </c>
      <c r="E432" s="20">
        <f t="shared" si="83"/>
        <v>3.1831015504885842E-3</v>
      </c>
      <c r="F432" s="18">
        <f t="shared" si="84"/>
        <v>12.29936401631017</v>
      </c>
      <c r="G432" s="14">
        <f t="shared" si="85"/>
        <v>475.00147534591508</v>
      </c>
      <c r="H432" s="14">
        <f t="shared" si="89"/>
        <v>0.24583096802433602</v>
      </c>
      <c r="I432" s="19">
        <f t="shared" si="86"/>
        <v>5.1753727258491578E-4</v>
      </c>
      <c r="J432" s="14">
        <f t="shared" si="90"/>
        <v>154.69007534591509</v>
      </c>
      <c r="K432" s="14">
        <f t="shared" si="93"/>
        <v>-0.9839601702057621</v>
      </c>
      <c r="L432" s="14">
        <f t="shared" si="92"/>
        <v>0.39324004708978005</v>
      </c>
      <c r="M432" s="20">
        <f t="shared" si="94"/>
        <v>-2.0840516000436462E-3</v>
      </c>
    </row>
    <row r="433" spans="1:13" x14ac:dyDescent="0.25">
      <c r="A433" s="8">
        <v>41745</v>
      </c>
      <c r="B433" s="42">
        <v>2014.29</v>
      </c>
      <c r="C433" s="40">
        <f t="shared" si="82"/>
        <v>8506</v>
      </c>
      <c r="D433">
        <v>139.04</v>
      </c>
      <c r="E433" s="20">
        <f t="shared" si="83"/>
        <v>1.3528181589577163E-2</v>
      </c>
      <c r="F433" s="18">
        <f t="shared" si="84"/>
        <v>12.312892197899748</v>
      </c>
      <c r="G433" s="14">
        <f t="shared" si="85"/>
        <v>476.04696683009547</v>
      </c>
      <c r="H433" s="14">
        <f t="shared" si="89"/>
        <v>1.0454914841803884</v>
      </c>
      <c r="I433" s="19">
        <f t="shared" si="86"/>
        <v>2.1961939830057392E-3</v>
      </c>
      <c r="J433" s="14">
        <f t="shared" si="90"/>
        <v>155.73556683009548</v>
      </c>
      <c r="K433" s="14">
        <f t="shared" si="93"/>
        <v>6.15313139746263E-2</v>
      </c>
      <c r="L433" s="14">
        <f t="shared" si="92"/>
        <v>0.3954362410727858</v>
      </c>
      <c r="M433" s="20">
        <f t="shared" si="94"/>
        <v>1.12142382962093E-4</v>
      </c>
    </row>
    <row r="434" spans="1:13" x14ac:dyDescent="0.25">
      <c r="A434" s="8">
        <v>41751</v>
      </c>
      <c r="B434" s="42">
        <v>2014.306</v>
      </c>
      <c r="C434" s="40">
        <f t="shared" si="82"/>
        <v>8512</v>
      </c>
      <c r="D434">
        <v>140.29</v>
      </c>
      <c r="E434" s="20">
        <f t="shared" si="83"/>
        <v>1.9894384690554785E-2</v>
      </c>
      <c r="F434" s="18">
        <f t="shared" si="84"/>
        <v>12.332786582590302</v>
      </c>
      <c r="G434" s="14">
        <f t="shared" si="85"/>
        <v>477.58654215999883</v>
      </c>
      <c r="H434" s="14">
        <f t="shared" si="89"/>
        <v>1.5395753299033572</v>
      </c>
      <c r="I434" s="19">
        <f t="shared" si="86"/>
        <v>3.2236572725442831E-3</v>
      </c>
      <c r="J434" s="14">
        <f t="shared" si="90"/>
        <v>157.27514215999884</v>
      </c>
      <c r="K434" s="14">
        <f t="shared" si="93"/>
        <v>1.6011066438779835</v>
      </c>
      <c r="L434" s="14">
        <f t="shared" si="92"/>
        <v>0.39865989834533005</v>
      </c>
      <c r="M434" s="20">
        <f t="shared" si="94"/>
        <v>3.3357996555063761E-3</v>
      </c>
    </row>
    <row r="435" spans="1:13" x14ac:dyDescent="0.25">
      <c r="A435" s="8">
        <v>41758</v>
      </c>
      <c r="B435" s="42">
        <v>2014.325</v>
      </c>
      <c r="C435" s="40">
        <f t="shared" si="82"/>
        <v>8519</v>
      </c>
      <c r="D435">
        <v>142.09</v>
      </c>
      <c r="E435" s="20">
        <f t="shared" si="83"/>
        <v>2.8647913954399067E-2</v>
      </c>
      <c r="F435" s="18">
        <f t="shared" si="84"/>
        <v>12.361434496544701</v>
      </c>
      <c r="G435" s="14">
        <f t="shared" si="85"/>
        <v>479.80789723082722</v>
      </c>
      <c r="H435" s="14">
        <f t="shared" si="89"/>
        <v>2.2213550708283947</v>
      </c>
      <c r="I435" s="19">
        <f t="shared" si="86"/>
        <v>4.6296759258210784E-3</v>
      </c>
      <c r="J435" s="14">
        <f t="shared" si="90"/>
        <v>159.49649723082723</v>
      </c>
      <c r="K435" s="14">
        <f t="shared" si="93"/>
        <v>3.8224617147063782</v>
      </c>
      <c r="L435" s="14">
        <f t="shared" si="93"/>
        <v>0.40328957427115114</v>
      </c>
      <c r="M435" s="20">
        <f t="shared" si="94"/>
        <v>7.9654755813274546E-3</v>
      </c>
    </row>
    <row r="436" spans="1:13" x14ac:dyDescent="0.25">
      <c r="A436" s="8">
        <v>41766</v>
      </c>
      <c r="B436" s="42">
        <v>2014.347</v>
      </c>
      <c r="C436" s="40">
        <f t="shared" si="82"/>
        <v>8527</v>
      </c>
      <c r="D436">
        <v>142.09</v>
      </c>
      <c r="E436" s="20">
        <f t="shared" si="83"/>
        <v>0</v>
      </c>
      <c r="F436" s="18">
        <f t="shared" si="84"/>
        <v>12.361434496544701</v>
      </c>
      <c r="G436" s="14">
        <f t="shared" si="85"/>
        <v>479.80789723082722</v>
      </c>
      <c r="H436" s="14">
        <f t="shared" si="89"/>
        <v>0</v>
      </c>
      <c r="I436" s="19">
        <f t="shared" si="86"/>
        <v>0</v>
      </c>
      <c r="J436" s="14">
        <f t="shared" si="90"/>
        <v>159.49649723082723</v>
      </c>
      <c r="K436" s="14">
        <f t="shared" si="93"/>
        <v>3.8224617147063782</v>
      </c>
      <c r="L436" s="14">
        <f t="shared" si="93"/>
        <v>0.40328957427115114</v>
      </c>
      <c r="M436" s="20">
        <f t="shared" si="94"/>
        <v>7.9654755813274546E-3</v>
      </c>
    </row>
    <row r="437" spans="1:13" x14ac:dyDescent="0.25">
      <c r="A437" s="8">
        <v>41774</v>
      </c>
      <c r="B437" s="42">
        <v>2014.3689999999999</v>
      </c>
      <c r="C437" s="40">
        <f t="shared" si="82"/>
        <v>8535</v>
      </c>
      <c r="D437">
        <v>144.44</v>
      </c>
      <c r="E437" s="20">
        <f t="shared" si="83"/>
        <v>3.7401443218242902E-2</v>
      </c>
      <c r="F437" s="18">
        <f t="shared" si="84"/>
        <v>12.398835939762945</v>
      </c>
      <c r="G437" s="14">
        <f t="shared" si="85"/>
        <v>482.7157565560338</v>
      </c>
      <c r="H437" s="14">
        <f t="shared" si="89"/>
        <v>2.907859325206573</v>
      </c>
      <c r="I437" s="19">
        <f t="shared" si="86"/>
        <v>6.0239577550831981E-3</v>
      </c>
      <c r="J437" s="14">
        <f t="shared" si="90"/>
        <v>162.4043565560338</v>
      </c>
      <c r="K437" s="14">
        <f t="shared" si="93"/>
        <v>6.7303210399129512</v>
      </c>
      <c r="L437" s="14">
        <f t="shared" si="93"/>
        <v>0.40931353202623433</v>
      </c>
      <c r="M437" s="20">
        <f t="shared" si="94"/>
        <v>1.3989433336410652E-2</v>
      </c>
    </row>
    <row r="438" spans="1:13" x14ac:dyDescent="0.25">
      <c r="A438" s="8">
        <v>41780</v>
      </c>
      <c r="B438" s="42">
        <v>2014.385</v>
      </c>
      <c r="C438" s="40">
        <f t="shared" si="82"/>
        <v>8541</v>
      </c>
      <c r="D438">
        <v>145.09</v>
      </c>
      <c r="E438" s="20">
        <f t="shared" si="83"/>
        <v>1.0345080039088579E-2</v>
      </c>
      <c r="F438" s="18">
        <f t="shared" si="84"/>
        <v>12.409181019802034</v>
      </c>
      <c r="G438" s="14">
        <f t="shared" si="85"/>
        <v>483.52160904815531</v>
      </c>
      <c r="H438" s="14">
        <f t="shared" si="89"/>
        <v>0.80585249212151666</v>
      </c>
      <c r="I438" s="19">
        <f t="shared" si="86"/>
        <v>1.6666318051594246E-3</v>
      </c>
      <c r="J438" s="14">
        <f t="shared" si="90"/>
        <v>163.21020904815532</v>
      </c>
      <c r="K438" s="14">
        <f t="shared" si="93"/>
        <v>7.5361735320344678</v>
      </c>
      <c r="L438" s="14">
        <f t="shared" si="93"/>
        <v>0.41098016383139374</v>
      </c>
      <c r="M438" s="20">
        <f t="shared" si="94"/>
        <v>1.5656065141570075E-2</v>
      </c>
    </row>
    <row r="439" spans="1:13" x14ac:dyDescent="0.25">
      <c r="A439" s="8">
        <v>41786</v>
      </c>
      <c r="B439" s="42">
        <v>2014.402</v>
      </c>
      <c r="C439" s="40">
        <f t="shared" si="82"/>
        <v>8547</v>
      </c>
      <c r="D439">
        <v>146.99</v>
      </c>
      <c r="E439" s="20">
        <f t="shared" si="83"/>
        <v>3.023946472964336E-2</v>
      </c>
      <c r="F439" s="18">
        <f t="shared" si="84"/>
        <v>12.439420484531677</v>
      </c>
      <c r="G439" s="14">
        <f t="shared" si="85"/>
        <v>485.88103145169703</v>
      </c>
      <c r="H439" s="14">
        <f t="shared" si="89"/>
        <v>2.3594224035417142</v>
      </c>
      <c r="I439" s="19">
        <f t="shared" si="86"/>
        <v>4.855967306425445E-3</v>
      </c>
      <c r="J439" s="14">
        <f t="shared" si="90"/>
        <v>165.56963145169703</v>
      </c>
      <c r="K439" s="14">
        <f t="shared" si="93"/>
        <v>9.895595935576182</v>
      </c>
      <c r="L439" s="14">
        <f t="shared" si="93"/>
        <v>0.4158361311378192</v>
      </c>
      <c r="M439" s="20">
        <f t="shared" si="94"/>
        <v>2.0512032447995522E-2</v>
      </c>
    </row>
    <row r="440" spans="1:13" x14ac:dyDescent="0.25">
      <c r="A440" s="8">
        <v>41793</v>
      </c>
      <c r="B440" s="42">
        <v>2014.421</v>
      </c>
      <c r="C440" s="40">
        <f t="shared" si="82"/>
        <v>8554</v>
      </c>
      <c r="D440">
        <v>147.19</v>
      </c>
      <c r="E440" s="20">
        <f t="shared" si="83"/>
        <v>3.1831015504885842E-3</v>
      </c>
      <c r="F440" s="18">
        <f t="shared" si="84"/>
        <v>12.442603586082166</v>
      </c>
      <c r="G440" s="14">
        <f t="shared" si="85"/>
        <v>486.12972576120825</v>
      </c>
      <c r="H440" s="14">
        <f t="shared" si="89"/>
        <v>0.2486943095112224</v>
      </c>
      <c r="I440" s="19">
        <f t="shared" si="86"/>
        <v>5.1158013248789379E-4</v>
      </c>
      <c r="J440" s="14">
        <f t="shared" si="90"/>
        <v>165.81832576120826</v>
      </c>
      <c r="K440" s="14">
        <f t="shared" ref="K440:L455" si="95">H440+K439</f>
        <v>10.144290245087404</v>
      </c>
      <c r="L440" s="14">
        <f t="shared" si="95"/>
        <v>0.41634771127030712</v>
      </c>
      <c r="M440" s="20">
        <f t="shared" si="94"/>
        <v>2.1023612580483415E-2</v>
      </c>
    </row>
    <row r="441" spans="1:13" x14ac:dyDescent="0.25">
      <c r="A441" s="8">
        <v>41800</v>
      </c>
      <c r="B441" s="42">
        <v>2014.44</v>
      </c>
      <c r="C441" s="40">
        <f t="shared" si="82"/>
        <v>8561</v>
      </c>
      <c r="D441">
        <v>148.38999999999999</v>
      </c>
      <c r="E441" s="20">
        <f t="shared" si="83"/>
        <v>1.9098609302932411E-2</v>
      </c>
      <c r="F441" s="18">
        <f t="shared" si="84"/>
        <v>12.461702195385099</v>
      </c>
      <c r="G441" s="14">
        <f t="shared" si="85"/>
        <v>487.62322784430262</v>
      </c>
      <c r="H441" s="14">
        <f t="shared" si="89"/>
        <v>1.4935020830943699</v>
      </c>
      <c r="I441" s="19">
        <f t="shared" si="86"/>
        <v>3.0628198121260193E-3</v>
      </c>
      <c r="J441" s="14">
        <f t="shared" si="90"/>
        <v>167.31182784430263</v>
      </c>
      <c r="K441" s="14">
        <f t="shared" si="95"/>
        <v>11.637792328181774</v>
      </c>
      <c r="L441" s="14">
        <f t="shared" si="95"/>
        <v>0.41941053108243315</v>
      </c>
      <c r="M441" s="20">
        <f t="shared" si="94"/>
        <v>2.4086432392609436E-2</v>
      </c>
    </row>
    <row r="442" spans="1:13" x14ac:dyDescent="0.25">
      <c r="A442" s="8">
        <v>41807</v>
      </c>
      <c r="B442" s="42">
        <v>2014.4590000000001</v>
      </c>
      <c r="C442" s="40">
        <f t="shared" si="82"/>
        <v>8568</v>
      </c>
      <c r="D442">
        <v>148.88999999999999</v>
      </c>
      <c r="E442" s="20">
        <f t="shared" si="83"/>
        <v>7.9577538762219142E-3</v>
      </c>
      <c r="F442" s="18">
        <f t="shared" si="84"/>
        <v>12.46965994926132</v>
      </c>
      <c r="G442" s="14">
        <f t="shared" si="85"/>
        <v>488.24619644566519</v>
      </c>
      <c r="H442" s="14">
        <f t="shared" si="89"/>
        <v>0.62296860136257237</v>
      </c>
      <c r="I442" s="19">
        <f t="shared" si="86"/>
        <v>1.2759312942889455E-3</v>
      </c>
      <c r="J442" s="14">
        <f t="shared" si="90"/>
        <v>167.9347964456652</v>
      </c>
      <c r="K442" s="14">
        <f t="shared" si="95"/>
        <v>12.260760929544347</v>
      </c>
      <c r="L442" s="14">
        <f t="shared" si="95"/>
        <v>0.42068646237672208</v>
      </c>
      <c r="M442" s="20">
        <f t="shared" si="94"/>
        <v>2.5362363686898381E-2</v>
      </c>
    </row>
    <row r="443" spans="1:13" x14ac:dyDescent="0.25">
      <c r="A443" s="8">
        <v>41814</v>
      </c>
      <c r="B443" s="42">
        <v>2014.4780000000001</v>
      </c>
      <c r="C443" s="40">
        <f t="shared" si="82"/>
        <v>8575</v>
      </c>
      <c r="D443">
        <v>149.79</v>
      </c>
      <c r="E443" s="20">
        <f t="shared" si="83"/>
        <v>1.4323956977199534E-2</v>
      </c>
      <c r="F443" s="18">
        <f t="shared" si="84"/>
        <v>12.483983906238519</v>
      </c>
      <c r="G443" s="14">
        <f t="shared" si="85"/>
        <v>489.36854209763817</v>
      </c>
      <c r="H443" s="14">
        <f t="shared" si="89"/>
        <v>1.122345651972978</v>
      </c>
      <c r="I443" s="19">
        <f t="shared" si="86"/>
        <v>2.2934568845846431E-3</v>
      </c>
      <c r="J443" s="14">
        <f t="shared" si="90"/>
        <v>169.05714209763818</v>
      </c>
      <c r="K443" s="14">
        <f t="shared" si="95"/>
        <v>13.383106581517325</v>
      </c>
      <c r="L443" s="14">
        <f t="shared" si="95"/>
        <v>0.42297991926130674</v>
      </c>
      <c r="M443" s="20">
        <f t="shared" si="94"/>
        <v>2.7655820571483025E-2</v>
      </c>
    </row>
    <row r="444" spans="1:13" x14ac:dyDescent="0.25">
      <c r="A444" s="8">
        <v>41821</v>
      </c>
      <c r="B444" s="42">
        <v>2014.4970000000001</v>
      </c>
      <c r="C444" s="40">
        <f t="shared" si="82"/>
        <v>8582</v>
      </c>
      <c r="D444">
        <v>149.99</v>
      </c>
      <c r="E444" s="20">
        <f t="shared" si="83"/>
        <v>3.1831015504890365E-3</v>
      </c>
      <c r="F444" s="18">
        <f t="shared" si="84"/>
        <v>12.487167007789008</v>
      </c>
      <c r="G444" s="14">
        <f t="shared" si="85"/>
        <v>489.61812722450088</v>
      </c>
      <c r="H444" s="14">
        <f t="shared" si="89"/>
        <v>0.24958512686271206</v>
      </c>
      <c r="I444" s="19">
        <f t="shared" si="86"/>
        <v>5.0975466998645592E-4</v>
      </c>
      <c r="J444" s="14">
        <f t="shared" si="90"/>
        <v>169.30672722450089</v>
      </c>
      <c r="K444" s="14">
        <f t="shared" si="95"/>
        <v>13.632691708380037</v>
      </c>
      <c r="L444" s="14">
        <f t="shared" si="95"/>
        <v>0.42348967393129316</v>
      </c>
      <c r="M444" s="20">
        <f t="shared" si="94"/>
        <v>2.8165575241469482E-2</v>
      </c>
    </row>
    <row r="445" spans="1:13" x14ac:dyDescent="0.25">
      <c r="A445" s="8">
        <v>41828</v>
      </c>
      <c r="B445" s="42">
        <v>2014.5160000000001</v>
      </c>
      <c r="C445" s="40">
        <f t="shared" si="82"/>
        <v>8589</v>
      </c>
      <c r="D445">
        <v>150.29</v>
      </c>
      <c r="E445" s="20">
        <f t="shared" si="83"/>
        <v>4.7746523257328763E-3</v>
      </c>
      <c r="F445" s="18">
        <f t="shared" si="84"/>
        <v>12.49194166011474</v>
      </c>
      <c r="G445" s="14">
        <f t="shared" si="85"/>
        <v>489.99262422069012</v>
      </c>
      <c r="H445" s="14">
        <f t="shared" si="89"/>
        <v>0.3744969961892366</v>
      </c>
      <c r="I445" s="19">
        <f t="shared" si="86"/>
        <v>7.6429108863598956E-4</v>
      </c>
      <c r="J445" s="14">
        <f t="shared" si="90"/>
        <v>169.68122422069013</v>
      </c>
      <c r="K445" s="14">
        <f t="shared" si="95"/>
        <v>14.007188704569273</v>
      </c>
      <c r="L445" s="14">
        <f t="shared" si="95"/>
        <v>0.42425396501992918</v>
      </c>
      <c r="M445" s="20">
        <f t="shared" si="94"/>
        <v>2.8929866330105473E-2</v>
      </c>
    </row>
    <row r="446" spans="1:13" x14ac:dyDescent="0.25">
      <c r="A446" s="8">
        <v>41835</v>
      </c>
      <c r="B446" s="42">
        <v>2014.5360000000001</v>
      </c>
      <c r="C446" s="40">
        <f t="shared" si="82"/>
        <v>8596</v>
      </c>
      <c r="D446">
        <v>150.88999999999999</v>
      </c>
      <c r="E446" s="20">
        <f t="shared" si="83"/>
        <v>9.5493046514662054E-3</v>
      </c>
      <c r="F446" s="18">
        <f t="shared" si="84"/>
        <v>12.501490964766207</v>
      </c>
      <c r="G446" s="14">
        <f t="shared" si="85"/>
        <v>490.74204771429163</v>
      </c>
      <c r="H446" s="14">
        <f t="shared" si="89"/>
        <v>0.74942349360151184</v>
      </c>
      <c r="I446" s="19">
        <f t="shared" si="86"/>
        <v>1.5271230519008302E-3</v>
      </c>
      <c r="J446" s="14">
        <f t="shared" si="90"/>
        <v>170.43064771429164</v>
      </c>
      <c r="K446" s="14">
        <f t="shared" si="95"/>
        <v>14.756612198170785</v>
      </c>
      <c r="L446" s="14">
        <f t="shared" si="95"/>
        <v>0.42578108807183002</v>
      </c>
      <c r="M446" s="20">
        <f t="shared" si="94"/>
        <v>3.0456989382006302E-2</v>
      </c>
    </row>
    <row r="447" spans="1:13" x14ac:dyDescent="0.25">
      <c r="A447" s="8">
        <v>41842</v>
      </c>
      <c r="B447" s="42">
        <v>2014.5550000000001</v>
      </c>
      <c r="C447" s="40">
        <f t="shared" si="82"/>
        <v>8603</v>
      </c>
      <c r="D447">
        <v>151.09</v>
      </c>
      <c r="E447" s="20">
        <f t="shared" si="83"/>
        <v>3.1831015504890365E-3</v>
      </c>
      <c r="F447" s="18">
        <f t="shared" si="84"/>
        <v>12.504674066316696</v>
      </c>
      <c r="G447" s="14">
        <f t="shared" si="85"/>
        <v>490.99198280511388</v>
      </c>
      <c r="H447" s="14">
        <f t="shared" si="89"/>
        <v>0.24993509082224818</v>
      </c>
      <c r="I447" s="19">
        <f t="shared" si="86"/>
        <v>5.0904108330716521E-4</v>
      </c>
      <c r="J447" s="14">
        <f t="shared" si="90"/>
        <v>170.68058280511389</v>
      </c>
      <c r="K447" s="14">
        <f t="shared" si="95"/>
        <v>15.006547288993033</v>
      </c>
      <c r="L447" s="14">
        <f t="shared" si="95"/>
        <v>0.4262901291551372</v>
      </c>
      <c r="M447" s="20">
        <f t="shared" si="94"/>
        <v>3.0966030465313467E-2</v>
      </c>
    </row>
    <row r="448" spans="1:13" x14ac:dyDescent="0.25">
      <c r="A448" s="8">
        <v>41849</v>
      </c>
      <c r="B448" s="42">
        <v>2014.5740000000001</v>
      </c>
      <c r="C448" s="40">
        <f t="shared" si="82"/>
        <v>8610</v>
      </c>
      <c r="D448">
        <v>151.99</v>
      </c>
      <c r="E448" s="20">
        <f t="shared" si="83"/>
        <v>1.4323956977199534E-2</v>
      </c>
      <c r="F448" s="18">
        <f t="shared" si="84"/>
        <v>12.518998023293895</v>
      </c>
      <c r="G448" s="14">
        <f t="shared" si="85"/>
        <v>492.11747813272251</v>
      </c>
      <c r="H448" s="14">
        <f t="shared" si="89"/>
        <v>1.1254953276086326</v>
      </c>
      <c r="I448" s="19">
        <f t="shared" si="86"/>
        <v>2.2870460359977096E-3</v>
      </c>
      <c r="J448" s="14">
        <f t="shared" si="90"/>
        <v>171.80607813272252</v>
      </c>
      <c r="K448" s="14">
        <f t="shared" si="95"/>
        <v>16.132042616601666</v>
      </c>
      <c r="L448" s="14">
        <f t="shared" si="95"/>
        <v>0.42857717519113492</v>
      </c>
      <c r="M448" s="20">
        <f t="shared" si="94"/>
        <v>3.325307650131118E-2</v>
      </c>
    </row>
    <row r="449" spans="1:13" x14ac:dyDescent="0.25">
      <c r="A449" s="8">
        <v>41856</v>
      </c>
      <c r="B449" s="42">
        <v>2014.5930000000001</v>
      </c>
      <c r="C449" s="40">
        <f t="shared" si="82"/>
        <v>8617</v>
      </c>
      <c r="D449">
        <v>153.59</v>
      </c>
      <c r="E449" s="20">
        <f t="shared" si="83"/>
        <v>2.546481240391003E-2</v>
      </c>
      <c r="F449" s="18">
        <f t="shared" si="84"/>
        <v>12.544462835697805</v>
      </c>
      <c r="G449" s="14">
        <f t="shared" si="85"/>
        <v>494.12154020567874</v>
      </c>
      <c r="H449" s="14">
        <f t="shared" si="89"/>
        <v>2.0040620729562306</v>
      </c>
      <c r="I449" s="19">
        <f t="shared" si="86"/>
        <v>4.0558079538933626E-3</v>
      </c>
      <c r="J449" s="14">
        <f t="shared" si="90"/>
        <v>173.81014020567875</v>
      </c>
      <c r="K449" s="14">
        <f t="shared" si="95"/>
        <v>18.136104689557897</v>
      </c>
      <c r="L449" s="14">
        <f t="shared" si="95"/>
        <v>0.43263298314502829</v>
      </c>
      <c r="M449" s="20">
        <f t="shared" si="94"/>
        <v>3.7308884455204541E-2</v>
      </c>
    </row>
    <row r="450" spans="1:13" x14ac:dyDescent="0.25">
      <c r="A450" s="8">
        <v>41863</v>
      </c>
      <c r="B450" s="42">
        <v>2014.6120000000001</v>
      </c>
      <c r="C450" s="40">
        <f t="shared" ref="C450:C513" si="96">A450-33239</f>
        <v>8624</v>
      </c>
      <c r="D450">
        <v>153.79</v>
      </c>
      <c r="E450" s="20">
        <f t="shared" si="83"/>
        <v>3.1831015504885842E-3</v>
      </c>
      <c r="F450" s="18">
        <f t="shared" si="84"/>
        <v>12.547645937248294</v>
      </c>
      <c r="G450" s="14">
        <f t="shared" si="85"/>
        <v>494.37233429894695</v>
      </c>
      <c r="H450" s="14">
        <f t="shared" si="89"/>
        <v>0.25079409326821178</v>
      </c>
      <c r="I450" s="19">
        <f t="shared" si="86"/>
        <v>5.0729799357371926E-4</v>
      </c>
      <c r="J450" s="14">
        <f t="shared" si="90"/>
        <v>174.06093429894696</v>
      </c>
      <c r="K450" s="14">
        <f t="shared" si="95"/>
        <v>18.386898782826108</v>
      </c>
      <c r="L450" s="14">
        <f t="shared" si="95"/>
        <v>0.43314028113860203</v>
      </c>
      <c r="M450" s="20">
        <f t="shared" si="94"/>
        <v>3.7816182448778261E-2</v>
      </c>
    </row>
    <row r="451" spans="1:13" x14ac:dyDescent="0.25">
      <c r="A451" s="8">
        <v>41870</v>
      </c>
      <c r="B451" s="42">
        <v>2014.6310000000001</v>
      </c>
      <c r="C451" s="40">
        <f t="shared" si="96"/>
        <v>8631</v>
      </c>
      <c r="D451">
        <v>154.59</v>
      </c>
      <c r="E451" s="20">
        <f t="shared" ref="E451:E502" si="97">((D451-D450)/10)/(2*3.14159)</f>
        <v>1.2732406201955242E-2</v>
      </c>
      <c r="F451" s="18">
        <f t="shared" ref="F451:F502" si="98">E451+F450</f>
        <v>12.56037834345025</v>
      </c>
      <c r="G451" s="14">
        <f t="shared" ref="G451:G502" si="99">3.14*(F451^2)</f>
        <v>495.3761469701281</v>
      </c>
      <c r="H451" s="14">
        <f t="shared" si="89"/>
        <v>1.0038126711811515</v>
      </c>
      <c r="I451" s="19">
        <f t="shared" ref="I451:I502" si="100">H451/G451</f>
        <v>2.0263645662407779E-3</v>
      </c>
      <c r="J451" s="14">
        <f t="shared" si="90"/>
        <v>175.06474697012811</v>
      </c>
      <c r="K451" s="14">
        <f t="shared" si="95"/>
        <v>19.39071145400726</v>
      </c>
      <c r="L451" s="14">
        <f t="shared" si="95"/>
        <v>0.43516664570484281</v>
      </c>
      <c r="M451" s="20">
        <f t="shared" si="94"/>
        <v>3.9842547015019041E-2</v>
      </c>
    </row>
    <row r="452" spans="1:13" x14ac:dyDescent="0.25">
      <c r="A452" s="8">
        <v>41877</v>
      </c>
      <c r="B452" s="42">
        <v>2014.65</v>
      </c>
      <c r="C452" s="40">
        <f t="shared" si="96"/>
        <v>8638</v>
      </c>
      <c r="D452">
        <v>155.29</v>
      </c>
      <c r="E452" s="20">
        <f t="shared" si="97"/>
        <v>1.1140855426710498E-2</v>
      </c>
      <c r="F452" s="18">
        <f t="shared" si="98"/>
        <v>12.57151919887696</v>
      </c>
      <c r="G452" s="14">
        <f t="shared" si="99"/>
        <v>496.25531819867848</v>
      </c>
      <c r="H452" s="14">
        <f t="shared" ref="H452:H502" si="101">G452-G451</f>
        <v>0.87917122855037633</v>
      </c>
      <c r="I452" s="19">
        <f t="shared" si="100"/>
        <v>1.7716106937485663E-3</v>
      </c>
      <c r="J452" s="14">
        <f t="shared" ref="J452:J502" si="102">H452+J451</f>
        <v>175.94391819867849</v>
      </c>
      <c r="K452" s="14">
        <f t="shared" si="95"/>
        <v>20.269882682557636</v>
      </c>
      <c r="L452" s="14">
        <f t="shared" si="95"/>
        <v>0.43693825639859141</v>
      </c>
      <c r="M452" s="20">
        <f t="shared" si="94"/>
        <v>4.1614157708767606E-2</v>
      </c>
    </row>
    <row r="453" spans="1:13" x14ac:dyDescent="0.25">
      <c r="A453" s="8">
        <v>41884</v>
      </c>
      <c r="B453" s="42">
        <v>2014.6690000000001</v>
      </c>
      <c r="C453" s="40">
        <f t="shared" si="96"/>
        <v>8645</v>
      </c>
      <c r="D453">
        <v>156.19</v>
      </c>
      <c r="E453" s="20">
        <f t="shared" si="97"/>
        <v>1.4323956977199534E-2</v>
      </c>
      <c r="F453" s="18">
        <f t="shared" si="98"/>
        <v>12.585843155854159</v>
      </c>
      <c r="G453" s="14">
        <f t="shared" si="99"/>
        <v>497.38682654340943</v>
      </c>
      <c r="H453" s="14">
        <f t="shared" si="101"/>
        <v>1.1315083447309462</v>
      </c>
      <c r="I453" s="19">
        <f t="shared" si="100"/>
        <v>2.2749061381347096E-3</v>
      </c>
      <c r="J453" s="14">
        <f t="shared" si="102"/>
        <v>177.07542654340943</v>
      </c>
      <c r="K453" s="14">
        <f t="shared" si="95"/>
        <v>21.401391027288582</v>
      </c>
      <c r="L453" s="14">
        <f t="shared" si="95"/>
        <v>0.4392131625367261</v>
      </c>
      <c r="M453" s="20">
        <f t="shared" si="94"/>
        <v>4.3889063846902318E-2</v>
      </c>
    </row>
    <row r="454" spans="1:13" x14ac:dyDescent="0.25">
      <c r="A454" s="8">
        <v>41891</v>
      </c>
      <c r="B454" s="42">
        <v>2014.6890000000001</v>
      </c>
      <c r="C454" s="40">
        <f t="shared" si="96"/>
        <v>8652</v>
      </c>
      <c r="D454">
        <v>156.79</v>
      </c>
      <c r="E454" s="20">
        <f t="shared" si="97"/>
        <v>9.5493046514662054E-3</v>
      </c>
      <c r="F454" s="18">
        <f t="shared" si="98"/>
        <v>12.595392460505625</v>
      </c>
      <c r="G454" s="14">
        <f t="shared" si="99"/>
        <v>498.14188127526853</v>
      </c>
      <c r="H454" s="14">
        <f t="shared" si="101"/>
        <v>0.75505473185910432</v>
      </c>
      <c r="I454" s="19">
        <f t="shared" si="100"/>
        <v>1.5157423220993301E-3</v>
      </c>
      <c r="J454" s="14">
        <f t="shared" si="102"/>
        <v>177.83048127526854</v>
      </c>
      <c r="K454" s="14">
        <f t="shared" si="95"/>
        <v>22.156445759147687</v>
      </c>
      <c r="L454" s="14">
        <f t="shared" si="95"/>
        <v>0.44072890485882543</v>
      </c>
      <c r="M454" s="20">
        <f t="shared" si="94"/>
        <v>4.5404806169001645E-2</v>
      </c>
    </row>
    <row r="455" spans="1:13" x14ac:dyDescent="0.25">
      <c r="A455" s="8">
        <v>41898</v>
      </c>
      <c r="B455" s="42">
        <v>2014.7080000000001</v>
      </c>
      <c r="C455" s="40">
        <f t="shared" si="96"/>
        <v>8659</v>
      </c>
      <c r="D455">
        <v>156.79</v>
      </c>
      <c r="E455" s="20">
        <f t="shared" si="97"/>
        <v>0</v>
      </c>
      <c r="F455" s="18">
        <f t="shared" si="98"/>
        <v>12.595392460505625</v>
      </c>
      <c r="G455" s="14">
        <f t="shared" si="99"/>
        <v>498.14188127526853</v>
      </c>
      <c r="H455" s="14">
        <f t="shared" si="101"/>
        <v>0</v>
      </c>
      <c r="I455" s="19">
        <f t="shared" si="100"/>
        <v>0</v>
      </c>
      <c r="J455" s="14">
        <f t="shared" si="102"/>
        <v>177.83048127526854</v>
      </c>
      <c r="K455" s="14">
        <f t="shared" si="95"/>
        <v>22.156445759147687</v>
      </c>
      <c r="L455" s="14">
        <f t="shared" si="95"/>
        <v>0.44072890485882543</v>
      </c>
      <c r="M455" s="20">
        <f t="shared" si="94"/>
        <v>4.5404806169001645E-2</v>
      </c>
    </row>
    <row r="456" spans="1:13" x14ac:dyDescent="0.25">
      <c r="A456" s="8">
        <v>41905</v>
      </c>
      <c r="B456" s="42">
        <v>2014.7270000000001</v>
      </c>
      <c r="C456" s="40">
        <f t="shared" si="96"/>
        <v>8666</v>
      </c>
      <c r="D456">
        <v>156.99</v>
      </c>
      <c r="E456" s="20">
        <f t="shared" si="97"/>
        <v>3.1831015504890365E-3</v>
      </c>
      <c r="F456" s="18">
        <f t="shared" si="98"/>
        <v>12.598575562056114</v>
      </c>
      <c r="G456" s="14">
        <f t="shared" si="99"/>
        <v>498.39369344550983</v>
      </c>
      <c r="H456" s="14">
        <f t="shared" si="101"/>
        <v>0.2518121702412941</v>
      </c>
      <c r="I456" s="19">
        <f t="shared" si="100"/>
        <v>5.0524750524120576E-4</v>
      </c>
      <c r="J456" s="14">
        <f t="shared" si="102"/>
        <v>178.08229344550983</v>
      </c>
      <c r="K456" s="14">
        <f t="shared" ref="K456:L471" si="103">H456+K455</f>
        <v>22.408257929388981</v>
      </c>
      <c r="L456" s="14">
        <f t="shared" si="103"/>
        <v>0.44123415236406666</v>
      </c>
      <c r="M456" s="20">
        <f t="shared" si="94"/>
        <v>4.5910053674242848E-2</v>
      </c>
    </row>
    <row r="457" spans="1:13" x14ac:dyDescent="0.25">
      <c r="A457" s="8">
        <v>41912</v>
      </c>
      <c r="B457" s="42">
        <v>2014.7460000000001</v>
      </c>
      <c r="C457" s="40">
        <f t="shared" si="96"/>
        <v>8673</v>
      </c>
      <c r="D457">
        <v>156.99</v>
      </c>
      <c r="E457" s="20">
        <f t="shared" si="97"/>
        <v>0</v>
      </c>
      <c r="F457" s="18">
        <f t="shared" si="98"/>
        <v>12.598575562056114</v>
      </c>
      <c r="G457" s="14">
        <f t="shared" si="99"/>
        <v>498.39369344550983</v>
      </c>
      <c r="H457" s="14">
        <f t="shared" si="101"/>
        <v>0</v>
      </c>
      <c r="I457" s="19">
        <f t="shared" si="100"/>
        <v>0</v>
      </c>
      <c r="J457" s="14">
        <f t="shared" si="102"/>
        <v>178.08229344550983</v>
      </c>
      <c r="K457" s="14">
        <f t="shared" si="103"/>
        <v>22.408257929388981</v>
      </c>
      <c r="L457" s="14">
        <f t="shared" si="103"/>
        <v>0.44123415236406666</v>
      </c>
      <c r="M457" s="20">
        <f t="shared" si="94"/>
        <v>4.5910053674242848E-2</v>
      </c>
    </row>
    <row r="458" spans="1:13" x14ac:dyDescent="0.25">
      <c r="A458" s="8">
        <v>41919</v>
      </c>
      <c r="B458" s="42">
        <v>2014.7650000000001</v>
      </c>
      <c r="C458" s="40">
        <f t="shared" si="96"/>
        <v>8680</v>
      </c>
      <c r="D458">
        <v>156.99</v>
      </c>
      <c r="E458" s="20">
        <f t="shared" si="97"/>
        <v>0</v>
      </c>
      <c r="F458" s="18">
        <f t="shared" si="98"/>
        <v>12.598575562056114</v>
      </c>
      <c r="G458" s="14">
        <f t="shared" si="99"/>
        <v>498.39369344550983</v>
      </c>
      <c r="H458" s="14">
        <f t="shared" si="101"/>
        <v>0</v>
      </c>
      <c r="I458" s="19">
        <f t="shared" si="100"/>
        <v>0</v>
      </c>
      <c r="J458" s="14">
        <f t="shared" si="102"/>
        <v>178.08229344550983</v>
      </c>
      <c r="K458" s="14">
        <f t="shared" si="103"/>
        <v>22.408257929388981</v>
      </c>
      <c r="L458" s="14">
        <f t="shared" si="103"/>
        <v>0.44123415236406666</v>
      </c>
      <c r="M458" s="20">
        <f t="shared" si="94"/>
        <v>4.5910053674242848E-2</v>
      </c>
    </row>
    <row r="459" spans="1:13" x14ac:dyDescent="0.25">
      <c r="A459" s="8">
        <v>41926</v>
      </c>
      <c r="B459" s="42">
        <v>2014.7840000000001</v>
      </c>
      <c r="C459" s="40">
        <f t="shared" si="96"/>
        <v>8687</v>
      </c>
      <c r="D459">
        <v>157.29</v>
      </c>
      <c r="E459" s="20">
        <f t="shared" si="97"/>
        <v>4.7746523257328763E-3</v>
      </c>
      <c r="F459" s="18">
        <f t="shared" si="98"/>
        <v>12.603350214381846</v>
      </c>
      <c r="G459" s="14">
        <f t="shared" si="99"/>
        <v>498.77153100676708</v>
      </c>
      <c r="H459" s="14">
        <f t="shared" si="101"/>
        <v>0.37783756125725176</v>
      </c>
      <c r="I459" s="19">
        <f t="shared" si="100"/>
        <v>7.575363423301028E-4</v>
      </c>
      <c r="J459" s="14">
        <f t="shared" si="102"/>
        <v>178.46013100676709</v>
      </c>
      <c r="K459" s="14">
        <f t="shared" si="103"/>
        <v>22.786095490646233</v>
      </c>
      <c r="L459" s="14">
        <f t="shared" si="103"/>
        <v>0.44199168870639677</v>
      </c>
      <c r="M459" s="20">
        <f t="shared" si="94"/>
        <v>4.6667590016572953E-2</v>
      </c>
    </row>
    <row r="460" spans="1:13" x14ac:dyDescent="0.25">
      <c r="A460" s="8">
        <v>41933</v>
      </c>
      <c r="B460" s="42">
        <v>2014.8030000000001</v>
      </c>
      <c r="C460" s="40">
        <f t="shared" si="96"/>
        <v>8694</v>
      </c>
      <c r="D460">
        <v>157.38999999999999</v>
      </c>
      <c r="E460" s="20">
        <f t="shared" si="97"/>
        <v>1.5915507752442921E-3</v>
      </c>
      <c r="F460" s="18">
        <f t="shared" si="98"/>
        <v>12.60494176515709</v>
      </c>
      <c r="G460" s="14">
        <f t="shared" si="99"/>
        <v>498.89750867542483</v>
      </c>
      <c r="H460" s="14">
        <f t="shared" si="101"/>
        <v>0.12597766865775384</v>
      </c>
      <c r="I460" s="19">
        <f t="shared" si="100"/>
        <v>2.525121221635785E-4</v>
      </c>
      <c r="J460" s="14">
        <f t="shared" si="102"/>
        <v>178.58610867542484</v>
      </c>
      <c r="K460" s="14">
        <f t="shared" si="103"/>
        <v>22.912073159303986</v>
      </c>
      <c r="L460" s="14">
        <f t="shared" si="103"/>
        <v>0.44224420082856036</v>
      </c>
      <c r="M460" s="20">
        <f t="shared" si="94"/>
        <v>4.6920102138736534E-2</v>
      </c>
    </row>
    <row r="461" spans="1:13" x14ac:dyDescent="0.25">
      <c r="A461" s="8">
        <v>41940</v>
      </c>
      <c r="B461" s="42">
        <v>2014.8219999999999</v>
      </c>
      <c r="C461" s="40">
        <f t="shared" si="96"/>
        <v>8701</v>
      </c>
      <c r="D461">
        <v>158.99</v>
      </c>
      <c r="E461" s="20">
        <f t="shared" si="97"/>
        <v>2.5464812403910485E-2</v>
      </c>
      <c r="F461" s="18">
        <f t="shared" si="98"/>
        <v>12.630406577561001</v>
      </c>
      <c r="G461" s="14">
        <f t="shared" si="99"/>
        <v>500.91531478751801</v>
      </c>
      <c r="H461" s="14">
        <f t="shared" si="101"/>
        <v>2.0178061120931829</v>
      </c>
      <c r="I461" s="19">
        <f t="shared" si="100"/>
        <v>4.0282380125453163E-3</v>
      </c>
      <c r="J461" s="14">
        <f t="shared" si="102"/>
        <v>180.60391478751802</v>
      </c>
      <c r="K461" s="14">
        <f t="shared" si="103"/>
        <v>24.929879271397169</v>
      </c>
      <c r="L461" s="14">
        <f t="shared" si="103"/>
        <v>0.44627243884110568</v>
      </c>
      <c r="M461" s="20">
        <f t="shared" si="94"/>
        <v>5.094834015128185E-2</v>
      </c>
    </row>
    <row r="462" spans="1:13" x14ac:dyDescent="0.25">
      <c r="A462" s="8">
        <v>41947</v>
      </c>
      <c r="B462" s="42">
        <v>2014.8420000000001</v>
      </c>
      <c r="C462" s="40">
        <f t="shared" si="96"/>
        <v>8708</v>
      </c>
      <c r="D462">
        <v>158.09</v>
      </c>
      <c r="E462" s="20">
        <f t="shared" si="97"/>
        <v>-1.4323956977199534E-2</v>
      </c>
      <c r="F462" s="18">
        <f t="shared" si="98"/>
        <v>12.616082620583802</v>
      </c>
      <c r="G462" s="14">
        <f t="shared" si="99"/>
        <v>499.77979776470545</v>
      </c>
      <c r="H462" s="14">
        <f t="shared" si="101"/>
        <v>-1.1355170228125644</v>
      </c>
      <c r="I462" s="19">
        <f t="shared" si="100"/>
        <v>-2.2720346598466587E-3</v>
      </c>
      <c r="J462" s="14">
        <f t="shared" si="102"/>
        <v>179.46839776470546</v>
      </c>
      <c r="K462" s="14">
        <f t="shared" si="103"/>
        <v>23.794362248584605</v>
      </c>
      <c r="L462" s="14">
        <f t="shared" si="103"/>
        <v>0.44400040418125902</v>
      </c>
      <c r="M462" s="20">
        <f t="shared" si="94"/>
        <v>4.8676305491435194E-2</v>
      </c>
    </row>
    <row r="463" spans="1:13" x14ac:dyDescent="0.25">
      <c r="A463" s="8">
        <v>41964</v>
      </c>
      <c r="B463" s="42">
        <v>2014.8879999999999</v>
      </c>
      <c r="C463" s="40">
        <f t="shared" si="96"/>
        <v>8725</v>
      </c>
      <c r="D463">
        <v>158.49</v>
      </c>
      <c r="E463" s="20">
        <f t="shared" si="97"/>
        <v>6.3662031009776212E-3</v>
      </c>
      <c r="F463" s="18">
        <f t="shared" si="98"/>
        <v>12.622448823684779</v>
      </c>
      <c r="G463" s="14">
        <f t="shared" si="99"/>
        <v>500.28431292253958</v>
      </c>
      <c r="H463" s="14">
        <f t="shared" si="101"/>
        <v>0.5045151578341347</v>
      </c>
      <c r="I463" s="19">
        <f t="shared" si="100"/>
        <v>1.0084568810220724E-3</v>
      </c>
      <c r="J463" s="14">
        <f t="shared" si="102"/>
        <v>179.97291292253959</v>
      </c>
      <c r="K463" s="14">
        <f t="shared" si="103"/>
        <v>24.29887740641874</v>
      </c>
      <c r="L463" s="14">
        <f t="shared" si="103"/>
        <v>0.4450088610622811</v>
      </c>
      <c r="M463" s="20">
        <f t="shared" si="94"/>
        <v>4.9684762372457267E-2</v>
      </c>
    </row>
    <row r="464" spans="1:13" x14ac:dyDescent="0.25">
      <c r="A464" s="8">
        <v>41982</v>
      </c>
      <c r="B464" s="42">
        <v>2014.9369999999999</v>
      </c>
      <c r="C464" s="40">
        <f t="shared" si="96"/>
        <v>8743</v>
      </c>
      <c r="D464">
        <v>157.94</v>
      </c>
      <c r="E464" s="20">
        <f t="shared" si="97"/>
        <v>-8.7535292638442862E-3</v>
      </c>
      <c r="F464" s="18">
        <f t="shared" si="98"/>
        <v>12.613695294420936</v>
      </c>
      <c r="G464" s="14">
        <f t="shared" si="99"/>
        <v>499.59067019876017</v>
      </c>
      <c r="H464" s="14">
        <f t="shared" si="101"/>
        <v>-0.69364272377941916</v>
      </c>
      <c r="I464" s="19">
        <f t="shared" si="100"/>
        <v>-1.3884220926372707E-3</v>
      </c>
      <c r="J464" s="14">
        <f t="shared" si="102"/>
        <v>179.27927019876017</v>
      </c>
      <c r="K464" s="14">
        <f t="shared" si="103"/>
        <v>23.60523468263932</v>
      </c>
      <c r="L464" s="14">
        <f t="shared" si="103"/>
        <v>0.44362043896964382</v>
      </c>
      <c r="M464" s="20">
        <f t="shared" si="94"/>
        <v>4.8296340279819994E-2</v>
      </c>
    </row>
    <row r="465" spans="1:13" x14ac:dyDescent="0.25">
      <c r="A465" s="8">
        <v>42003</v>
      </c>
      <c r="B465" s="42">
        <v>2014.9949999999999</v>
      </c>
      <c r="C465" s="40">
        <f t="shared" si="96"/>
        <v>8764</v>
      </c>
      <c r="D465">
        <v>157.99</v>
      </c>
      <c r="E465" s="20">
        <f t="shared" si="97"/>
        <v>7.9577538762237233E-4</v>
      </c>
      <c r="F465" s="18">
        <f t="shared" si="98"/>
        <v>12.614491069808558</v>
      </c>
      <c r="G465" s="14">
        <f t="shared" si="99"/>
        <v>499.65370874387878</v>
      </c>
      <c r="H465" s="14">
        <f t="shared" si="101"/>
        <v>6.303854511861573E-2</v>
      </c>
      <c r="I465" s="19">
        <f t="shared" si="100"/>
        <v>1.2616446954250295E-4</v>
      </c>
      <c r="J465" s="14">
        <f t="shared" si="102"/>
        <v>179.34230874387879</v>
      </c>
      <c r="K465" s="14">
        <f t="shared" si="103"/>
        <v>23.668273227757936</v>
      </c>
      <c r="L465" s="14">
        <f t="shared" si="103"/>
        <v>0.44374660343918632</v>
      </c>
      <c r="M465" s="20">
        <f t="shared" si="94"/>
        <v>4.8422504749362494E-2</v>
      </c>
    </row>
    <row r="466" spans="1:13" x14ac:dyDescent="0.25">
      <c r="A466" s="43">
        <v>42039</v>
      </c>
      <c r="B466" s="44">
        <v>2015.096</v>
      </c>
      <c r="C466" s="40">
        <f t="shared" si="96"/>
        <v>8800</v>
      </c>
      <c r="D466" s="44">
        <v>158.09</v>
      </c>
      <c r="E466" s="20">
        <f t="shared" si="97"/>
        <v>1.5915507752442921E-3</v>
      </c>
      <c r="F466" s="18">
        <f t="shared" si="98"/>
        <v>12.616082620583802</v>
      </c>
      <c r="G466" s="14">
        <f t="shared" si="99"/>
        <v>499.77979776470545</v>
      </c>
      <c r="H466" s="14">
        <f t="shared" si="101"/>
        <v>0.12608902082666873</v>
      </c>
      <c r="I466" s="19">
        <f t="shared" si="100"/>
        <v>2.522891509232852E-4</v>
      </c>
      <c r="J466" s="14">
        <f t="shared" si="102"/>
        <v>179.46839776470546</v>
      </c>
      <c r="K466" s="14">
        <f>H466</f>
        <v>0.12608902082666873</v>
      </c>
      <c r="L466" s="14">
        <f t="shared" si="103"/>
        <v>0.44399889259010961</v>
      </c>
      <c r="M466" s="20">
        <f>I466</f>
        <v>2.522891509232852E-4</v>
      </c>
    </row>
    <row r="467" spans="1:13" x14ac:dyDescent="0.25">
      <c r="A467" s="43">
        <v>42067</v>
      </c>
      <c r="B467" s="44">
        <v>2015.172</v>
      </c>
      <c r="C467" s="40">
        <f t="shared" si="96"/>
        <v>8828</v>
      </c>
      <c r="D467" s="44">
        <v>158.29</v>
      </c>
      <c r="E467" s="20">
        <f t="shared" si="97"/>
        <v>3.1831015504885842E-3</v>
      </c>
      <c r="F467" s="18">
        <f t="shared" si="98"/>
        <v>12.619265722134291</v>
      </c>
      <c r="G467" s="14">
        <f t="shared" si="99"/>
        <v>500.03202352871716</v>
      </c>
      <c r="H467" s="14">
        <f t="shared" si="101"/>
        <v>0.25222576401171182</v>
      </c>
      <c r="I467" s="19">
        <f t="shared" si="100"/>
        <v>5.0441922145657604E-4</v>
      </c>
      <c r="J467" s="14">
        <f t="shared" si="102"/>
        <v>179.72062352871717</v>
      </c>
      <c r="K467" s="14">
        <f>H467+K466</f>
        <v>0.37831478483838055</v>
      </c>
      <c r="L467" s="14">
        <f t="shared" si="103"/>
        <v>0.44450331181156616</v>
      </c>
      <c r="M467" s="20">
        <f>I467+M466</f>
        <v>7.5670837237986125E-4</v>
      </c>
    </row>
    <row r="468" spans="1:13" x14ac:dyDescent="0.25">
      <c r="A468" s="43">
        <v>42073</v>
      </c>
      <c r="B468" s="44">
        <v>2015.1890000000001</v>
      </c>
      <c r="C468" s="40">
        <f t="shared" si="96"/>
        <v>8834</v>
      </c>
      <c r="D468" s="44">
        <v>158.34</v>
      </c>
      <c r="E468" s="20">
        <f t="shared" si="97"/>
        <v>7.9577538762237233E-4</v>
      </c>
      <c r="F468" s="18">
        <f t="shared" si="98"/>
        <v>12.620061497521913</v>
      </c>
      <c r="G468" s="14">
        <f t="shared" si="99"/>
        <v>500.09508991187801</v>
      </c>
      <c r="H468" s="14">
        <f t="shared" si="101"/>
        <v>6.3066383160844453E-2</v>
      </c>
      <c r="I468" s="19">
        <f t="shared" si="100"/>
        <v>1.2610878297556852E-4</v>
      </c>
      <c r="J468" s="14">
        <f t="shared" si="102"/>
        <v>179.78368991187801</v>
      </c>
      <c r="K468" s="14">
        <f t="shared" ref="K468:L483" si="104">H468+K467</f>
        <v>0.441381167999225</v>
      </c>
      <c r="L468" s="14">
        <f t="shared" si="103"/>
        <v>0.44462942059454175</v>
      </c>
      <c r="M468" s="20">
        <f t="shared" ref="M468:M502" si="105">I468+M467</f>
        <v>8.8281715535542973E-4</v>
      </c>
    </row>
    <row r="469" spans="1:13" x14ac:dyDescent="0.25">
      <c r="A469" s="43">
        <v>42080</v>
      </c>
      <c r="B469" s="44">
        <v>2015.2080000000001</v>
      </c>
      <c r="C469" s="40">
        <f t="shared" si="96"/>
        <v>8841</v>
      </c>
      <c r="D469" s="44">
        <v>158.94</v>
      </c>
      <c r="E469" s="20">
        <f t="shared" si="97"/>
        <v>9.5493046514662054E-3</v>
      </c>
      <c r="F469" s="18">
        <f t="shared" si="98"/>
        <v>12.62961080217338</v>
      </c>
      <c r="G469" s="14">
        <f t="shared" si="99"/>
        <v>500.85219670513595</v>
      </c>
      <c r="H469" s="14">
        <f t="shared" si="101"/>
        <v>0.75710679325794672</v>
      </c>
      <c r="I469" s="19">
        <f t="shared" si="100"/>
        <v>1.5116371620980914E-3</v>
      </c>
      <c r="J469" s="14">
        <f t="shared" si="102"/>
        <v>180.54079670513596</v>
      </c>
      <c r="K469" s="14">
        <f t="shared" si="104"/>
        <v>1.1984879612571717</v>
      </c>
      <c r="L469" s="14">
        <f t="shared" si="103"/>
        <v>0.44614105775663981</v>
      </c>
      <c r="M469" s="20">
        <f t="shared" si="105"/>
        <v>2.3944543174535212E-3</v>
      </c>
    </row>
    <row r="470" spans="1:13" x14ac:dyDescent="0.25">
      <c r="A470" s="43">
        <v>42087</v>
      </c>
      <c r="B470" s="44">
        <v>2015.2270000000001</v>
      </c>
      <c r="C470" s="40">
        <f t="shared" si="96"/>
        <v>8848</v>
      </c>
      <c r="D470" s="44">
        <v>158.99</v>
      </c>
      <c r="E470" s="20">
        <f t="shared" si="97"/>
        <v>7.9577538762237233E-4</v>
      </c>
      <c r="F470" s="18">
        <f t="shared" si="98"/>
        <v>12.630406577561002</v>
      </c>
      <c r="G470" s="14">
        <f t="shared" si="99"/>
        <v>500.91531478751818</v>
      </c>
      <c r="H470" s="14">
        <f t="shared" si="101"/>
        <v>6.3118082382231933E-2</v>
      </c>
      <c r="I470" s="19">
        <f t="shared" si="100"/>
        <v>1.2600549537800776E-4</v>
      </c>
      <c r="J470" s="14">
        <f t="shared" si="102"/>
        <v>180.60391478751819</v>
      </c>
      <c r="K470" s="14">
        <f t="shared" si="104"/>
        <v>1.2616060436394037</v>
      </c>
      <c r="L470" s="14">
        <f t="shared" si="103"/>
        <v>0.44626706325201781</v>
      </c>
      <c r="M470" s="20">
        <f t="shared" si="105"/>
        <v>2.5204598128315291E-3</v>
      </c>
    </row>
    <row r="471" spans="1:13" x14ac:dyDescent="0.25">
      <c r="A471" s="43">
        <v>42094</v>
      </c>
      <c r="B471" s="44">
        <v>2015.2460000000001</v>
      </c>
      <c r="C471" s="40">
        <f t="shared" si="96"/>
        <v>8855</v>
      </c>
      <c r="D471" s="44">
        <v>158.88999999999999</v>
      </c>
      <c r="E471" s="20">
        <f t="shared" si="97"/>
        <v>-1.5915507752447447E-3</v>
      </c>
      <c r="F471" s="18">
        <f t="shared" si="98"/>
        <v>12.628815026785757</v>
      </c>
      <c r="G471" s="14">
        <f t="shared" si="99"/>
        <v>500.78908259961702</v>
      </c>
      <c r="H471" s="14">
        <f t="shared" si="101"/>
        <v>-0.12623218790116653</v>
      </c>
      <c r="I471" s="19">
        <f t="shared" si="100"/>
        <v>-2.520665731087626E-4</v>
      </c>
      <c r="J471" s="14">
        <f t="shared" si="102"/>
        <v>180.47768259961703</v>
      </c>
      <c r="K471" s="14">
        <f t="shared" si="104"/>
        <v>1.1353738557382371</v>
      </c>
      <c r="L471" s="14">
        <f t="shared" si="103"/>
        <v>0.44601499667890904</v>
      </c>
      <c r="M471" s="20">
        <f t="shared" si="105"/>
        <v>2.2683932397227664E-3</v>
      </c>
    </row>
    <row r="472" spans="1:13" x14ac:dyDescent="0.25">
      <c r="A472" s="43">
        <v>42101</v>
      </c>
      <c r="B472" s="44">
        <v>2015.2650000000001</v>
      </c>
      <c r="C472" s="40">
        <f t="shared" si="96"/>
        <v>8862</v>
      </c>
      <c r="D472" s="44">
        <v>158.99</v>
      </c>
      <c r="E472" s="20">
        <f t="shared" si="97"/>
        <v>1.5915507752447447E-3</v>
      </c>
      <c r="F472" s="18">
        <f t="shared" si="98"/>
        <v>12.630406577561002</v>
      </c>
      <c r="G472" s="14">
        <f t="shared" si="99"/>
        <v>500.91531478751818</v>
      </c>
      <c r="H472" s="14">
        <f t="shared" si="101"/>
        <v>0.12623218790116653</v>
      </c>
      <c r="I472" s="19">
        <f t="shared" si="100"/>
        <v>2.5200305156314215E-4</v>
      </c>
      <c r="J472" s="14">
        <f t="shared" si="102"/>
        <v>180.60391478751819</v>
      </c>
      <c r="K472" s="14">
        <f t="shared" si="104"/>
        <v>1.2616060436394037</v>
      </c>
      <c r="L472" s="14">
        <f t="shared" si="104"/>
        <v>0.44626699973047218</v>
      </c>
      <c r="M472" s="20">
        <f t="shared" si="105"/>
        <v>2.5203962912859084E-3</v>
      </c>
    </row>
    <row r="473" spans="1:13" x14ac:dyDescent="0.25">
      <c r="A473" s="43">
        <v>42109</v>
      </c>
      <c r="B473" s="44">
        <v>2015.287</v>
      </c>
      <c r="C473" s="40">
        <f t="shared" si="96"/>
        <v>8870</v>
      </c>
      <c r="D473" s="44">
        <v>159.13999999999999</v>
      </c>
      <c r="E473" s="20">
        <f t="shared" si="97"/>
        <v>2.3873261628662122E-3</v>
      </c>
      <c r="F473" s="18">
        <f t="shared" si="98"/>
        <v>12.632793903723869</v>
      </c>
      <c r="G473" s="14">
        <f t="shared" si="99"/>
        <v>501.10469289584364</v>
      </c>
      <c r="H473" s="14">
        <f t="shared" si="101"/>
        <v>0.18937810832545665</v>
      </c>
      <c r="I473" s="19">
        <f t="shared" si="100"/>
        <v>3.7792124282663535E-4</v>
      </c>
      <c r="J473" s="14">
        <f t="shared" si="102"/>
        <v>180.79329289584365</v>
      </c>
      <c r="K473" s="14">
        <f t="shared" si="104"/>
        <v>1.4509841519648603</v>
      </c>
      <c r="L473" s="14">
        <f t="shared" si="104"/>
        <v>0.44664492097329883</v>
      </c>
      <c r="M473" s="20">
        <f t="shared" si="105"/>
        <v>2.8983175341125438E-3</v>
      </c>
    </row>
    <row r="474" spans="1:13" x14ac:dyDescent="0.25">
      <c r="A474" s="43">
        <v>42117</v>
      </c>
      <c r="B474" s="44">
        <v>2015.309</v>
      </c>
      <c r="C474" s="40">
        <f t="shared" si="96"/>
        <v>8878</v>
      </c>
      <c r="D474" s="44">
        <v>159.59</v>
      </c>
      <c r="E474" s="20">
        <f t="shared" si="97"/>
        <v>7.1619784885999932E-3</v>
      </c>
      <c r="F474" s="18">
        <f t="shared" si="98"/>
        <v>12.639955882212469</v>
      </c>
      <c r="G474" s="14">
        <f t="shared" si="99"/>
        <v>501.6730419714317</v>
      </c>
      <c r="H474" s="14">
        <f t="shared" si="101"/>
        <v>0.5683490755880598</v>
      </c>
      <c r="I474" s="19">
        <f t="shared" si="100"/>
        <v>1.1329073480899239E-3</v>
      </c>
      <c r="J474" s="14">
        <f t="shared" si="102"/>
        <v>181.36164197143171</v>
      </c>
      <c r="K474" s="14">
        <f t="shared" si="104"/>
        <v>2.0193332275529201</v>
      </c>
      <c r="L474" s="14">
        <f t="shared" si="104"/>
        <v>0.44777782832138874</v>
      </c>
      <c r="M474" s="20">
        <f t="shared" si="105"/>
        <v>4.0312248822024672E-3</v>
      </c>
    </row>
    <row r="475" spans="1:13" x14ac:dyDescent="0.25">
      <c r="A475" s="43">
        <v>42123</v>
      </c>
      <c r="B475" s="44">
        <v>2015.325</v>
      </c>
      <c r="C475" s="40">
        <f t="shared" si="96"/>
        <v>8884</v>
      </c>
      <c r="D475" s="44">
        <v>160.59</v>
      </c>
      <c r="E475" s="20">
        <f t="shared" si="97"/>
        <v>1.5915507752443828E-2</v>
      </c>
      <c r="F475" s="18">
        <f t="shared" si="98"/>
        <v>12.655871389964913</v>
      </c>
      <c r="G475" s="14">
        <f t="shared" si="99"/>
        <v>502.93719320750381</v>
      </c>
      <c r="H475" s="14">
        <f t="shared" si="101"/>
        <v>1.2641512360721094</v>
      </c>
      <c r="I475" s="19">
        <f t="shared" si="100"/>
        <v>2.5135369846281002E-3</v>
      </c>
      <c r="J475" s="14">
        <f t="shared" si="102"/>
        <v>182.62579320750382</v>
      </c>
      <c r="K475" s="14">
        <f t="shared" si="104"/>
        <v>3.2834844636250295</v>
      </c>
      <c r="L475" s="14">
        <f t="shared" si="104"/>
        <v>0.45029136530601682</v>
      </c>
      <c r="M475" s="20">
        <f t="shared" si="105"/>
        <v>6.544761866830567E-3</v>
      </c>
    </row>
    <row r="476" spans="1:13" x14ac:dyDescent="0.25">
      <c r="A476" s="43">
        <v>42130</v>
      </c>
      <c r="B476" s="44">
        <v>2015.3440000000001</v>
      </c>
      <c r="C476" s="40">
        <f t="shared" si="96"/>
        <v>8891</v>
      </c>
      <c r="D476" s="44">
        <v>161.59</v>
      </c>
      <c r="E476" s="20">
        <f t="shared" si="97"/>
        <v>1.5915507752443828E-2</v>
      </c>
      <c r="F476" s="18">
        <f t="shared" si="98"/>
        <v>12.671786897717357</v>
      </c>
      <c r="G476" s="14">
        <f t="shared" si="99"/>
        <v>504.20293518884648</v>
      </c>
      <c r="H476" s="14">
        <f t="shared" si="101"/>
        <v>1.2657419813426714</v>
      </c>
      <c r="I476" s="19">
        <f t="shared" si="100"/>
        <v>2.5103820168531836E-3</v>
      </c>
      <c r="J476" s="14">
        <f t="shared" si="102"/>
        <v>183.89153518884649</v>
      </c>
      <c r="K476" s="14">
        <f t="shared" si="104"/>
        <v>4.5492264449677009</v>
      </c>
      <c r="L476" s="14">
        <f t="shared" si="104"/>
        <v>0.45280174732286999</v>
      </c>
      <c r="M476" s="20">
        <f t="shared" si="105"/>
        <v>9.055143883683751E-3</v>
      </c>
    </row>
    <row r="477" spans="1:13" x14ac:dyDescent="0.25">
      <c r="A477" s="43">
        <v>42136</v>
      </c>
      <c r="B477" s="44">
        <v>2015.3610000000001</v>
      </c>
      <c r="C477" s="40">
        <f t="shared" si="96"/>
        <v>8897</v>
      </c>
      <c r="D477" s="44">
        <v>161.59</v>
      </c>
      <c r="E477" s="20">
        <f t="shared" si="97"/>
        <v>0</v>
      </c>
      <c r="F477" s="18">
        <f t="shared" si="98"/>
        <v>12.671786897717357</v>
      </c>
      <c r="G477" s="14">
        <f t="shared" si="99"/>
        <v>504.20293518884648</v>
      </c>
      <c r="H477" s="14">
        <f t="shared" si="101"/>
        <v>0</v>
      </c>
      <c r="I477" s="19">
        <f t="shared" si="100"/>
        <v>0</v>
      </c>
      <c r="J477" s="14">
        <f t="shared" si="102"/>
        <v>183.89153518884649</v>
      </c>
      <c r="K477" s="14">
        <f t="shared" si="104"/>
        <v>4.5492264449677009</v>
      </c>
      <c r="L477" s="14">
        <f t="shared" si="104"/>
        <v>0.45280174732286999</v>
      </c>
      <c r="M477" s="20">
        <f t="shared" si="105"/>
        <v>9.055143883683751E-3</v>
      </c>
    </row>
    <row r="478" spans="1:13" x14ac:dyDescent="0.25">
      <c r="A478" s="43">
        <v>42143</v>
      </c>
      <c r="B478" s="44">
        <v>2015.38</v>
      </c>
      <c r="C478" s="40">
        <f t="shared" si="96"/>
        <v>8904</v>
      </c>
      <c r="D478" s="44">
        <v>162.84</v>
      </c>
      <c r="E478" s="20">
        <f t="shared" si="97"/>
        <v>1.9894384690554785E-2</v>
      </c>
      <c r="F478" s="18">
        <f t="shared" si="98"/>
        <v>12.691681282407911</v>
      </c>
      <c r="G478" s="14">
        <f t="shared" si="99"/>
        <v>505.78734965106128</v>
      </c>
      <c r="H478" s="14">
        <f t="shared" si="101"/>
        <v>1.5844144622147951</v>
      </c>
      <c r="I478" s="19">
        <f t="shared" si="100"/>
        <v>3.1325703644187034E-3</v>
      </c>
      <c r="J478" s="14">
        <f t="shared" si="102"/>
        <v>185.47594965106128</v>
      </c>
      <c r="K478" s="14">
        <f t="shared" si="104"/>
        <v>6.133640907182496</v>
      </c>
      <c r="L478" s="14">
        <f t="shared" si="104"/>
        <v>0.4559343176872887</v>
      </c>
      <c r="M478" s="20">
        <f t="shared" si="105"/>
        <v>1.2187714248102454E-2</v>
      </c>
    </row>
    <row r="479" spans="1:13" x14ac:dyDescent="0.25">
      <c r="A479" s="43">
        <v>42150</v>
      </c>
      <c r="B479" s="44">
        <v>2015.3989999999999</v>
      </c>
      <c r="C479" s="40">
        <f t="shared" si="96"/>
        <v>8911</v>
      </c>
      <c r="D479" s="44">
        <v>163.59</v>
      </c>
      <c r="E479" s="20">
        <f t="shared" si="97"/>
        <v>1.193663081433287E-2</v>
      </c>
      <c r="F479" s="18">
        <f t="shared" si="98"/>
        <v>12.703617913222244</v>
      </c>
      <c r="G479" s="14">
        <f t="shared" si="99"/>
        <v>506.739191387343</v>
      </c>
      <c r="H479" s="14">
        <f t="shared" si="101"/>
        <v>0.95184173628172175</v>
      </c>
      <c r="I479" s="19">
        <f t="shared" si="100"/>
        <v>1.8783661348075005E-3</v>
      </c>
      <c r="J479" s="14">
        <f t="shared" si="102"/>
        <v>186.42779138734301</v>
      </c>
      <c r="K479" s="14">
        <f t="shared" si="104"/>
        <v>7.0854826434642177</v>
      </c>
      <c r="L479" s="14">
        <f t="shared" si="104"/>
        <v>0.45781268382209622</v>
      </c>
      <c r="M479" s="20">
        <f t="shared" si="105"/>
        <v>1.4066080382909955E-2</v>
      </c>
    </row>
    <row r="480" spans="1:13" x14ac:dyDescent="0.25">
      <c r="A480" s="43">
        <v>42157</v>
      </c>
      <c r="B480" s="44">
        <v>2015.4179999999999</v>
      </c>
      <c r="C480" s="40">
        <f t="shared" si="96"/>
        <v>8918</v>
      </c>
      <c r="D480" s="44">
        <v>163.59</v>
      </c>
      <c r="E480" s="20">
        <f t="shared" si="97"/>
        <v>0</v>
      </c>
      <c r="F480" s="18">
        <f t="shared" si="98"/>
        <v>12.703617913222244</v>
      </c>
      <c r="G480" s="14">
        <f t="shared" si="99"/>
        <v>506.739191387343</v>
      </c>
      <c r="H480" s="14">
        <f t="shared" si="101"/>
        <v>0</v>
      </c>
      <c r="I480" s="19">
        <f t="shared" si="100"/>
        <v>0</v>
      </c>
      <c r="J480" s="14">
        <f t="shared" si="102"/>
        <v>186.42779138734301</v>
      </c>
      <c r="K480" s="14">
        <f t="shared" si="104"/>
        <v>7.0854826434642177</v>
      </c>
      <c r="L480" s="14">
        <f t="shared" si="104"/>
        <v>0.45781268382209622</v>
      </c>
      <c r="M480" s="20">
        <f t="shared" si="105"/>
        <v>1.4066080382909955E-2</v>
      </c>
    </row>
    <row r="481" spans="1:13" x14ac:dyDescent="0.25">
      <c r="A481" s="43">
        <v>42164</v>
      </c>
      <c r="B481" s="44">
        <v>2015.4369999999999</v>
      </c>
      <c r="C481" s="40">
        <f t="shared" si="96"/>
        <v>8925</v>
      </c>
      <c r="D481" s="44">
        <v>164.39</v>
      </c>
      <c r="E481" s="20">
        <f t="shared" si="97"/>
        <v>1.273240620195479E-2</v>
      </c>
      <c r="F481" s="18">
        <f t="shared" si="98"/>
        <v>12.716350319424199</v>
      </c>
      <c r="G481" s="14">
        <f t="shared" si="99"/>
        <v>507.75547550144461</v>
      </c>
      <c r="H481" s="14">
        <f t="shared" si="101"/>
        <v>1.0162841141016088</v>
      </c>
      <c r="I481" s="19">
        <f t="shared" si="100"/>
        <v>2.0015227075551594E-3</v>
      </c>
      <c r="J481" s="14">
        <f t="shared" si="102"/>
        <v>187.44407550144462</v>
      </c>
      <c r="K481" s="14">
        <f t="shared" si="104"/>
        <v>8.1017667575658265</v>
      </c>
      <c r="L481" s="14">
        <f t="shared" si="104"/>
        <v>0.45981420652965138</v>
      </c>
      <c r="M481" s="20">
        <f t="shared" si="105"/>
        <v>1.6067603090465114E-2</v>
      </c>
    </row>
    <row r="482" spans="1:13" x14ac:dyDescent="0.25">
      <c r="A482" s="43">
        <v>42171</v>
      </c>
      <c r="B482" s="44">
        <v>2015.4559999999999</v>
      </c>
      <c r="C482" s="40">
        <f t="shared" si="96"/>
        <v>8932</v>
      </c>
      <c r="D482" s="44">
        <v>165.24</v>
      </c>
      <c r="E482" s="20">
        <f t="shared" si="97"/>
        <v>1.3528181589577614E-2</v>
      </c>
      <c r="F482" s="18">
        <f t="shared" si="98"/>
        <v>12.729878501013777</v>
      </c>
      <c r="G482" s="14">
        <f t="shared" si="99"/>
        <v>508.83639288279852</v>
      </c>
      <c r="H482" s="14">
        <f t="shared" si="101"/>
        <v>1.0809173813539132</v>
      </c>
      <c r="I482" s="19">
        <f t="shared" si="100"/>
        <v>2.1242925947768903E-3</v>
      </c>
      <c r="J482" s="14">
        <f t="shared" si="102"/>
        <v>188.52499288279853</v>
      </c>
      <c r="K482" s="14">
        <f t="shared" si="104"/>
        <v>9.1826841389197398</v>
      </c>
      <c r="L482" s="14">
        <f t="shared" si="104"/>
        <v>0.46193849912442825</v>
      </c>
      <c r="M482" s="20">
        <f t="shared" si="105"/>
        <v>1.8191895685242005E-2</v>
      </c>
    </row>
    <row r="483" spans="1:13" x14ac:dyDescent="0.25">
      <c r="A483" s="43">
        <v>42178</v>
      </c>
      <c r="B483" s="44">
        <v>2015.4749999999999</v>
      </c>
      <c r="C483" s="40">
        <f t="shared" si="96"/>
        <v>8939</v>
      </c>
      <c r="D483" s="44">
        <v>165.89</v>
      </c>
      <c r="E483" s="20">
        <f t="shared" si="97"/>
        <v>1.0345080039088126E-2</v>
      </c>
      <c r="F483" s="18">
        <f t="shared" si="98"/>
        <v>12.740223581052865</v>
      </c>
      <c r="G483" s="14">
        <f t="shared" si="99"/>
        <v>509.66375225097659</v>
      </c>
      <c r="H483" s="14">
        <f t="shared" si="101"/>
        <v>0.82735936817806532</v>
      </c>
      <c r="I483" s="19">
        <f t="shared" si="100"/>
        <v>1.623343556460425E-3</v>
      </c>
      <c r="J483" s="14">
        <f t="shared" si="102"/>
        <v>189.35235225097659</v>
      </c>
      <c r="K483" s="14">
        <f t="shared" si="104"/>
        <v>10.010043507097805</v>
      </c>
      <c r="L483" s="14">
        <f t="shared" si="104"/>
        <v>0.46356184268088868</v>
      </c>
      <c r="M483" s="20">
        <f t="shared" si="105"/>
        <v>1.9815239241702431E-2</v>
      </c>
    </row>
    <row r="484" spans="1:13" x14ac:dyDescent="0.25">
      <c r="A484" s="43">
        <v>42186</v>
      </c>
      <c r="B484" s="44">
        <v>2015.4970000000001</v>
      </c>
      <c r="C484" s="40">
        <f t="shared" si="96"/>
        <v>8947</v>
      </c>
      <c r="D484" s="44">
        <v>166.59</v>
      </c>
      <c r="E484" s="20">
        <f t="shared" si="97"/>
        <v>1.1140855426710949E-2</v>
      </c>
      <c r="F484" s="18">
        <f t="shared" si="98"/>
        <v>12.751364436479577</v>
      </c>
      <c r="G484" s="14">
        <f t="shared" si="99"/>
        <v>510.55550627461656</v>
      </c>
      <c r="H484" s="14">
        <f t="shared" si="101"/>
        <v>0.89175402363997591</v>
      </c>
      <c r="I484" s="19">
        <f t="shared" si="100"/>
        <v>1.7466348177240518E-3</v>
      </c>
      <c r="J484" s="14">
        <f t="shared" si="102"/>
        <v>190.24410627461657</v>
      </c>
      <c r="K484" s="14">
        <f t="shared" ref="K484:L499" si="106">H484+K483</f>
        <v>10.901797530737781</v>
      </c>
      <c r="L484" s="14">
        <f t="shared" si="106"/>
        <v>0.4653084774986127</v>
      </c>
      <c r="M484" s="20">
        <f t="shared" si="105"/>
        <v>2.1561874059426483E-2</v>
      </c>
    </row>
    <row r="485" spans="1:13" x14ac:dyDescent="0.25">
      <c r="A485" s="43">
        <v>42194</v>
      </c>
      <c r="B485" s="44">
        <v>2015.519</v>
      </c>
      <c r="C485" s="40">
        <f t="shared" si="96"/>
        <v>8955</v>
      </c>
      <c r="D485" s="44">
        <v>169.34</v>
      </c>
      <c r="E485" s="20">
        <f t="shared" si="97"/>
        <v>4.3767646319220525E-2</v>
      </c>
      <c r="F485" s="18">
        <f t="shared" si="98"/>
        <v>12.795132082798798</v>
      </c>
      <c r="G485" s="14">
        <f t="shared" si="99"/>
        <v>514.0663717510788</v>
      </c>
      <c r="H485" s="14">
        <f t="shared" si="101"/>
        <v>3.5108654764622429</v>
      </c>
      <c r="I485" s="19">
        <f t="shared" si="100"/>
        <v>6.8295956891774165E-3</v>
      </c>
      <c r="J485" s="14">
        <f t="shared" si="102"/>
        <v>193.75497175107881</v>
      </c>
      <c r="K485" s="14">
        <f t="shared" si="106"/>
        <v>14.412663007200024</v>
      </c>
      <c r="L485" s="14">
        <f t="shared" si="106"/>
        <v>0.47213807318779011</v>
      </c>
      <c r="M485" s="20">
        <f t="shared" si="105"/>
        <v>2.83914697486039E-2</v>
      </c>
    </row>
    <row r="486" spans="1:13" x14ac:dyDescent="0.25">
      <c r="A486" s="43">
        <v>42200</v>
      </c>
      <c r="B486" s="44">
        <v>2015.5360000000001</v>
      </c>
      <c r="C486" s="40">
        <f t="shared" si="96"/>
        <v>8961</v>
      </c>
      <c r="D486" s="44">
        <v>169.54</v>
      </c>
      <c r="E486" s="20">
        <f t="shared" si="97"/>
        <v>3.1831015504885842E-3</v>
      </c>
      <c r="F486" s="18">
        <f t="shared" si="98"/>
        <v>12.798315184349287</v>
      </c>
      <c r="G486" s="14">
        <f t="shared" si="99"/>
        <v>514.32217669194893</v>
      </c>
      <c r="H486" s="14">
        <f t="shared" si="101"/>
        <v>0.25580494087012084</v>
      </c>
      <c r="I486" s="19">
        <f t="shared" si="100"/>
        <v>4.9736323351916073E-4</v>
      </c>
      <c r="J486" s="14">
        <f t="shared" si="102"/>
        <v>194.01077669194893</v>
      </c>
      <c r="K486" s="14">
        <f t="shared" si="106"/>
        <v>14.668467948070145</v>
      </c>
      <c r="L486" s="14">
        <f t="shared" si="106"/>
        <v>0.47263543642130929</v>
      </c>
      <c r="M486" s="20">
        <f t="shared" si="105"/>
        <v>2.888883298212306E-2</v>
      </c>
    </row>
    <row r="487" spans="1:13" x14ac:dyDescent="0.25">
      <c r="A487" s="43">
        <v>42207</v>
      </c>
      <c r="B487" s="44">
        <v>2015.5550000000001</v>
      </c>
      <c r="C487" s="40">
        <f t="shared" si="96"/>
        <v>8968</v>
      </c>
      <c r="D487" s="44">
        <v>170.79</v>
      </c>
      <c r="E487" s="20">
        <f t="shared" si="97"/>
        <v>1.9894384690554785E-2</v>
      </c>
      <c r="F487" s="18">
        <f t="shared" si="98"/>
        <v>12.818209569039841</v>
      </c>
      <c r="G487" s="14">
        <f t="shared" si="99"/>
        <v>515.92239918528912</v>
      </c>
      <c r="H487" s="14">
        <f t="shared" si="101"/>
        <v>1.6002224933401976</v>
      </c>
      <c r="I487" s="19">
        <f t="shared" si="100"/>
        <v>3.1016728404643108E-3</v>
      </c>
      <c r="J487" s="14">
        <f t="shared" si="102"/>
        <v>195.61099918528913</v>
      </c>
      <c r="K487" s="14">
        <f t="shared" si="106"/>
        <v>16.268690441410342</v>
      </c>
      <c r="L487" s="14">
        <f t="shared" si="106"/>
        <v>0.47573710926177359</v>
      </c>
      <c r="M487" s="20">
        <f t="shared" si="105"/>
        <v>3.1990505822587369E-2</v>
      </c>
    </row>
    <row r="488" spans="1:13" x14ac:dyDescent="0.25">
      <c r="A488" s="43">
        <v>42213</v>
      </c>
      <c r="B488" s="44">
        <v>2015.5709999999999</v>
      </c>
      <c r="C488" s="40">
        <f t="shared" si="96"/>
        <v>8974</v>
      </c>
      <c r="D488" s="44">
        <v>170.94</v>
      </c>
      <c r="E488" s="20">
        <f t="shared" si="97"/>
        <v>2.3873261628666645E-3</v>
      </c>
      <c r="F488" s="18">
        <f t="shared" si="98"/>
        <v>12.820596895202707</v>
      </c>
      <c r="G488" s="14">
        <f t="shared" si="99"/>
        <v>516.11459291274321</v>
      </c>
      <c r="H488" s="14">
        <f t="shared" si="101"/>
        <v>0.19219372745408236</v>
      </c>
      <c r="I488" s="19">
        <f t="shared" si="100"/>
        <v>3.7238576489267289E-4</v>
      </c>
      <c r="J488" s="14">
        <f t="shared" si="102"/>
        <v>195.80319291274321</v>
      </c>
      <c r="K488" s="14">
        <f t="shared" si="106"/>
        <v>16.460884168864425</v>
      </c>
      <c r="L488" s="14">
        <f t="shared" si="106"/>
        <v>0.47610949502666627</v>
      </c>
      <c r="M488" s="20">
        <f t="shared" si="105"/>
        <v>3.2362891587480042E-2</v>
      </c>
    </row>
    <row r="489" spans="1:13" x14ac:dyDescent="0.25">
      <c r="A489" s="43">
        <v>42221</v>
      </c>
      <c r="B489" s="44">
        <v>2015.5930000000001</v>
      </c>
      <c r="C489" s="40">
        <f t="shared" si="96"/>
        <v>8982</v>
      </c>
      <c r="D489" s="44">
        <v>172.59</v>
      </c>
      <c r="E489" s="20">
        <f t="shared" si="97"/>
        <v>2.6260587791532404E-2</v>
      </c>
      <c r="F489" s="18">
        <f t="shared" si="98"/>
        <v>12.846857482994238</v>
      </c>
      <c r="G489" s="14">
        <f t="shared" si="99"/>
        <v>518.23108617146636</v>
      </c>
      <c r="H489" s="14">
        <f t="shared" si="101"/>
        <v>2.1164932587231533</v>
      </c>
      <c r="I489" s="19">
        <f t="shared" si="100"/>
        <v>4.0840723669418634E-3</v>
      </c>
      <c r="J489" s="14">
        <f t="shared" si="102"/>
        <v>197.91968617146637</v>
      </c>
      <c r="K489" s="14">
        <f t="shared" si="106"/>
        <v>18.577377427587578</v>
      </c>
      <c r="L489" s="14">
        <f t="shared" si="106"/>
        <v>0.48019356739360813</v>
      </c>
      <c r="M489" s="20">
        <f t="shared" si="105"/>
        <v>3.6446963954421902E-2</v>
      </c>
    </row>
    <row r="490" spans="1:13" x14ac:dyDescent="0.25">
      <c r="A490" s="43">
        <v>42227</v>
      </c>
      <c r="B490" s="44">
        <v>2015.6089999999999</v>
      </c>
      <c r="C490" s="40">
        <f t="shared" si="96"/>
        <v>8988</v>
      </c>
      <c r="D490" s="44">
        <v>172.69</v>
      </c>
      <c r="E490" s="20">
        <f t="shared" si="97"/>
        <v>1.5915507752442921E-3</v>
      </c>
      <c r="F490" s="18">
        <f t="shared" si="98"/>
        <v>12.848449033769482</v>
      </c>
      <c r="G490" s="14">
        <f t="shared" si="99"/>
        <v>518.3594976803879</v>
      </c>
      <c r="H490" s="14">
        <f t="shared" si="101"/>
        <v>0.12841150892154474</v>
      </c>
      <c r="I490" s="19">
        <f t="shared" si="100"/>
        <v>2.4772674079702348E-4</v>
      </c>
      <c r="J490" s="14">
        <f t="shared" si="102"/>
        <v>198.04809768038791</v>
      </c>
      <c r="K490" s="14">
        <f t="shared" si="106"/>
        <v>18.705788936509123</v>
      </c>
      <c r="L490" s="14">
        <f t="shared" si="106"/>
        <v>0.48044129413440517</v>
      </c>
      <c r="M490" s="20">
        <f t="shared" si="105"/>
        <v>3.6694690695218926E-2</v>
      </c>
    </row>
    <row r="491" spans="1:13" x14ac:dyDescent="0.25">
      <c r="A491" s="43">
        <v>42234</v>
      </c>
      <c r="B491" s="44">
        <v>2015.6279999999999</v>
      </c>
      <c r="C491" s="40">
        <f t="shared" si="96"/>
        <v>8995</v>
      </c>
      <c r="D491" s="44">
        <v>173.19</v>
      </c>
      <c r="E491" s="20">
        <f t="shared" si="97"/>
        <v>7.9577538762219142E-3</v>
      </c>
      <c r="F491" s="18">
        <f t="shared" si="98"/>
        <v>12.856406787645703</v>
      </c>
      <c r="G491" s="14">
        <f t="shared" si="99"/>
        <v>519.00179383678676</v>
      </c>
      <c r="H491" s="14">
        <f t="shared" si="101"/>
        <v>0.64229615639885651</v>
      </c>
      <c r="I491" s="19">
        <f t="shared" si="100"/>
        <v>1.2375605711313644E-3</v>
      </c>
      <c r="J491" s="14">
        <f t="shared" si="102"/>
        <v>198.69039383678677</v>
      </c>
      <c r="K491" s="14">
        <f t="shared" si="106"/>
        <v>19.348085092907979</v>
      </c>
      <c r="L491" s="14">
        <f t="shared" si="106"/>
        <v>0.48167885470553656</v>
      </c>
      <c r="M491" s="20">
        <f t="shared" si="105"/>
        <v>3.7932251266350289E-2</v>
      </c>
    </row>
    <row r="492" spans="1:13" x14ac:dyDescent="0.25">
      <c r="A492" s="43">
        <v>42241</v>
      </c>
      <c r="B492" s="44">
        <v>2015.6479999999999</v>
      </c>
      <c r="C492" s="40">
        <f t="shared" si="96"/>
        <v>9002</v>
      </c>
      <c r="D492" s="44">
        <v>174.44</v>
      </c>
      <c r="E492" s="20">
        <f t="shared" si="97"/>
        <v>1.9894384690554785E-2</v>
      </c>
      <c r="F492" s="18">
        <f t="shared" si="98"/>
        <v>12.876301172336257</v>
      </c>
      <c r="G492" s="14">
        <f t="shared" si="99"/>
        <v>520.60927410542342</v>
      </c>
      <c r="H492" s="14">
        <f t="shared" si="101"/>
        <v>1.6074802686366638</v>
      </c>
      <c r="I492" s="19">
        <f t="shared" si="100"/>
        <v>3.0876904208032778E-3</v>
      </c>
      <c r="J492" s="14">
        <f t="shared" si="102"/>
        <v>200.29787410542343</v>
      </c>
      <c r="K492" s="14">
        <f t="shared" si="106"/>
        <v>20.955565361544643</v>
      </c>
      <c r="L492" s="14">
        <f t="shared" si="106"/>
        <v>0.48476654512633982</v>
      </c>
      <c r="M492" s="20">
        <f t="shared" si="105"/>
        <v>4.1019941687153567E-2</v>
      </c>
    </row>
    <row r="493" spans="1:13" x14ac:dyDescent="0.25">
      <c r="A493" s="43">
        <v>42248</v>
      </c>
      <c r="B493" s="44">
        <v>2015.6669999999999</v>
      </c>
      <c r="C493" s="40">
        <f t="shared" si="96"/>
        <v>9009</v>
      </c>
      <c r="D493" s="44">
        <v>174.39</v>
      </c>
      <c r="E493" s="20">
        <f t="shared" si="97"/>
        <v>-7.9577538762237233E-4</v>
      </c>
      <c r="F493" s="18">
        <f t="shared" si="98"/>
        <v>12.875505396948634</v>
      </c>
      <c r="G493" s="14">
        <f t="shared" si="99"/>
        <v>520.54492717231972</v>
      </c>
      <c r="H493" s="14">
        <f t="shared" si="101"/>
        <v>-6.434693310370676E-2</v>
      </c>
      <c r="I493" s="19">
        <f t="shared" si="100"/>
        <v>-1.2361456186548434E-4</v>
      </c>
      <c r="J493" s="14">
        <f t="shared" si="102"/>
        <v>200.23352717231973</v>
      </c>
      <c r="K493" s="14">
        <f t="shared" si="106"/>
        <v>20.891218428440936</v>
      </c>
      <c r="L493" s="14">
        <f t="shared" si="106"/>
        <v>0.48464293056447433</v>
      </c>
      <c r="M493" s="20">
        <f t="shared" si="105"/>
        <v>4.0896327125288082E-2</v>
      </c>
    </row>
    <row r="494" spans="1:13" x14ac:dyDescent="0.25">
      <c r="A494" s="43">
        <v>42255</v>
      </c>
      <c r="B494" s="44">
        <v>2015.6859999999999</v>
      </c>
      <c r="C494" s="40">
        <f t="shared" si="96"/>
        <v>9016</v>
      </c>
      <c r="D494" s="44">
        <v>174.89</v>
      </c>
      <c r="E494" s="20">
        <f t="shared" si="97"/>
        <v>7.9577538762219142E-3</v>
      </c>
      <c r="F494" s="18">
        <f t="shared" si="98"/>
        <v>12.883463150824856</v>
      </c>
      <c r="G494" s="14">
        <f t="shared" si="99"/>
        <v>521.1885754621984</v>
      </c>
      <c r="H494" s="14">
        <f t="shared" si="101"/>
        <v>0.6436482898786835</v>
      </c>
      <c r="I494" s="19">
        <f t="shared" si="100"/>
        <v>1.2349623920821478E-3</v>
      </c>
      <c r="J494" s="14">
        <f t="shared" si="102"/>
        <v>200.87717546219841</v>
      </c>
      <c r="K494" s="14">
        <f t="shared" si="106"/>
        <v>21.53486671831962</v>
      </c>
      <c r="L494" s="14">
        <f t="shared" si="106"/>
        <v>0.48587789295655648</v>
      </c>
      <c r="M494" s="20">
        <f t="shared" si="105"/>
        <v>4.2131289517370232E-2</v>
      </c>
    </row>
    <row r="495" spans="1:13" x14ac:dyDescent="0.25">
      <c r="A495" s="43">
        <v>42262</v>
      </c>
      <c r="B495" s="44">
        <v>2015.7049999999999</v>
      </c>
      <c r="C495" s="40">
        <f t="shared" si="96"/>
        <v>9023</v>
      </c>
      <c r="D495" s="44">
        <v>174.84</v>
      </c>
      <c r="E495" s="20">
        <f t="shared" si="97"/>
        <v>-7.9577538762192E-4</v>
      </c>
      <c r="F495" s="18">
        <f t="shared" si="98"/>
        <v>12.882667375437233</v>
      </c>
      <c r="G495" s="14">
        <f t="shared" si="99"/>
        <v>521.12419273732621</v>
      </c>
      <c r="H495" s="14">
        <f t="shared" si="101"/>
        <v>-6.4382724872189101E-2</v>
      </c>
      <c r="I495" s="19">
        <f t="shared" si="100"/>
        <v>-1.2354583757473212E-4</v>
      </c>
      <c r="J495" s="14">
        <f t="shared" si="102"/>
        <v>200.81279273732622</v>
      </c>
      <c r="K495" s="14">
        <f t="shared" si="106"/>
        <v>21.470483993447431</v>
      </c>
      <c r="L495" s="14">
        <f t="shared" si="106"/>
        <v>0.48575434711898174</v>
      </c>
      <c r="M495" s="20">
        <f t="shared" si="105"/>
        <v>4.2007743679795498E-2</v>
      </c>
    </row>
    <row r="496" spans="1:13" x14ac:dyDescent="0.25">
      <c r="A496" s="43">
        <v>42269</v>
      </c>
      <c r="B496" s="44">
        <v>2015.7239999999999</v>
      </c>
      <c r="C496" s="40">
        <f t="shared" si="96"/>
        <v>9030</v>
      </c>
      <c r="D496" s="44">
        <v>174.69</v>
      </c>
      <c r="E496" s="20">
        <f t="shared" si="97"/>
        <v>-2.3873261628666645E-3</v>
      </c>
      <c r="F496" s="18">
        <f t="shared" si="98"/>
        <v>12.880280049274367</v>
      </c>
      <c r="G496" s="14">
        <f t="shared" si="99"/>
        <v>520.93106842388875</v>
      </c>
      <c r="H496" s="14">
        <f t="shared" si="101"/>
        <v>-0.19312431343746539</v>
      </c>
      <c r="I496" s="19">
        <f t="shared" si="100"/>
        <v>-3.7072911397236435E-4</v>
      </c>
      <c r="J496" s="14">
        <f t="shared" si="102"/>
        <v>200.61966842388875</v>
      </c>
      <c r="K496" s="14">
        <f t="shared" si="106"/>
        <v>21.277359680009965</v>
      </c>
      <c r="L496" s="14">
        <f t="shared" si="106"/>
        <v>0.4853836180050094</v>
      </c>
      <c r="M496" s="20">
        <f t="shared" si="105"/>
        <v>4.1637014565823131E-2</v>
      </c>
    </row>
    <row r="497" spans="1:13" x14ac:dyDescent="0.25">
      <c r="A497" s="43">
        <v>42283</v>
      </c>
      <c r="B497" s="44">
        <v>2015.7619999999999</v>
      </c>
      <c r="C497" s="40">
        <f t="shared" si="96"/>
        <v>9044</v>
      </c>
      <c r="D497" s="44">
        <v>174.94</v>
      </c>
      <c r="E497" s="20">
        <f t="shared" si="97"/>
        <v>3.9788769381109571E-3</v>
      </c>
      <c r="F497" s="18">
        <f t="shared" si="98"/>
        <v>12.884258926212478</v>
      </c>
      <c r="G497" s="14">
        <f t="shared" si="99"/>
        <v>521.25296216393383</v>
      </c>
      <c r="H497" s="14">
        <f t="shared" si="101"/>
        <v>0.32189374004508409</v>
      </c>
      <c r="I497" s="19">
        <f t="shared" si="100"/>
        <v>6.1753843797601033E-4</v>
      </c>
      <c r="J497" s="14">
        <f t="shared" si="102"/>
        <v>200.94156216393384</v>
      </c>
      <c r="K497" s="14">
        <f t="shared" si="106"/>
        <v>21.599253420055049</v>
      </c>
      <c r="L497" s="14">
        <f t="shared" si="106"/>
        <v>0.48600115644298542</v>
      </c>
      <c r="M497" s="20">
        <f t="shared" si="105"/>
        <v>4.2254553003799142E-2</v>
      </c>
    </row>
    <row r="498" spans="1:13" x14ac:dyDescent="0.25">
      <c r="A498" s="43">
        <v>42290</v>
      </c>
      <c r="B498" s="44">
        <v>2015.7809999999999</v>
      </c>
      <c r="C498" s="40">
        <f t="shared" si="96"/>
        <v>9051</v>
      </c>
      <c r="D498" s="44">
        <v>174.94</v>
      </c>
      <c r="E498" s="20">
        <f t="shared" si="97"/>
        <v>0</v>
      </c>
      <c r="F498" s="18">
        <f t="shared" si="98"/>
        <v>12.884258926212478</v>
      </c>
      <c r="G498" s="14">
        <f t="shared" si="99"/>
        <v>521.25296216393383</v>
      </c>
      <c r="H498" s="14">
        <f t="shared" si="101"/>
        <v>0</v>
      </c>
      <c r="I498" s="19">
        <f t="shared" si="100"/>
        <v>0</v>
      </c>
      <c r="J498" s="14">
        <f t="shared" si="102"/>
        <v>200.94156216393384</v>
      </c>
      <c r="K498" s="14">
        <f t="shared" si="106"/>
        <v>21.599253420055049</v>
      </c>
      <c r="L498" s="14">
        <f t="shared" si="106"/>
        <v>0.48600115644298542</v>
      </c>
      <c r="M498" s="20">
        <f t="shared" si="105"/>
        <v>4.2254553003799142E-2</v>
      </c>
    </row>
    <row r="499" spans="1:13" x14ac:dyDescent="0.25">
      <c r="A499" s="43">
        <v>42297</v>
      </c>
      <c r="B499" s="44">
        <v>2015.8009999999999</v>
      </c>
      <c r="C499" s="40">
        <f t="shared" si="96"/>
        <v>9058</v>
      </c>
      <c r="D499" s="44">
        <v>174.89</v>
      </c>
      <c r="E499" s="20">
        <f t="shared" si="97"/>
        <v>-7.9577538762237233E-4</v>
      </c>
      <c r="F499" s="18">
        <f t="shared" si="98"/>
        <v>12.883463150824856</v>
      </c>
      <c r="G499" s="14">
        <f t="shared" si="99"/>
        <v>521.1885754621984</v>
      </c>
      <c r="H499" s="14">
        <f t="shared" si="101"/>
        <v>-6.4386701735429597E-2</v>
      </c>
      <c r="I499" s="19">
        <f t="shared" si="100"/>
        <v>-1.235382062592804E-4</v>
      </c>
      <c r="J499" s="14">
        <f t="shared" si="102"/>
        <v>200.87717546219841</v>
      </c>
      <c r="K499" s="14">
        <f t="shared" si="106"/>
        <v>21.53486671831962</v>
      </c>
      <c r="L499" s="14">
        <f t="shared" si="106"/>
        <v>0.48587761823672615</v>
      </c>
      <c r="M499" s="20">
        <f t="shared" si="105"/>
        <v>4.2131014797539862E-2</v>
      </c>
    </row>
    <row r="500" spans="1:13" x14ac:dyDescent="0.25">
      <c r="A500" s="43">
        <v>42305</v>
      </c>
      <c r="B500" s="44">
        <v>2015.8219999999999</v>
      </c>
      <c r="C500" s="40">
        <f t="shared" si="96"/>
        <v>9066</v>
      </c>
      <c r="D500" s="44">
        <v>175.99</v>
      </c>
      <c r="E500" s="20">
        <f t="shared" si="97"/>
        <v>1.7507058527688572E-2</v>
      </c>
      <c r="F500" s="18">
        <f t="shared" si="98"/>
        <v>12.900970209352543</v>
      </c>
      <c r="G500" s="14">
        <f t="shared" si="99"/>
        <v>522.60600155576969</v>
      </c>
      <c r="H500" s="14">
        <f t="shared" si="101"/>
        <v>1.4174260935712937</v>
      </c>
      <c r="I500" s="19">
        <f t="shared" si="100"/>
        <v>2.7122269728087566E-3</v>
      </c>
      <c r="J500" s="14">
        <f t="shared" si="102"/>
        <v>202.2946015557697</v>
      </c>
      <c r="K500" s="14">
        <f t="shared" ref="K500:L502" si="107">H500+K499</f>
        <v>22.952292811890914</v>
      </c>
      <c r="L500" s="14">
        <f t="shared" si="107"/>
        <v>0.48858984520953491</v>
      </c>
      <c r="M500" s="20">
        <f t="shared" si="105"/>
        <v>4.4843241770348617E-2</v>
      </c>
    </row>
    <row r="501" spans="1:13" x14ac:dyDescent="0.25">
      <c r="A501" s="43">
        <v>42318</v>
      </c>
      <c r="B501" s="44">
        <v>2015.8579999999999</v>
      </c>
      <c r="C501" s="40">
        <f t="shared" si="96"/>
        <v>9079</v>
      </c>
      <c r="D501" s="44">
        <v>176.49</v>
      </c>
      <c r="E501" s="20">
        <f t="shared" si="97"/>
        <v>7.9577538762219142E-3</v>
      </c>
      <c r="F501" s="18">
        <f t="shared" si="98"/>
        <v>12.908927963228765</v>
      </c>
      <c r="G501" s="14">
        <f t="shared" si="99"/>
        <v>523.25092244186476</v>
      </c>
      <c r="H501" s="14">
        <f t="shared" si="101"/>
        <v>0.64492088609506482</v>
      </c>
      <c r="I501" s="19">
        <f t="shared" si="100"/>
        <v>1.2325269931401184E-3</v>
      </c>
      <c r="J501" s="14">
        <f t="shared" si="102"/>
        <v>202.93952244186477</v>
      </c>
      <c r="K501" s="14">
        <f t="shared" si="107"/>
        <v>23.597213697985978</v>
      </c>
      <c r="L501" s="14">
        <f t="shared" si="107"/>
        <v>0.48982237220267505</v>
      </c>
      <c r="M501" s="20">
        <f t="shared" si="105"/>
        <v>4.6075768763488734E-2</v>
      </c>
    </row>
    <row r="502" spans="1:13" x14ac:dyDescent="0.25">
      <c r="A502" s="43">
        <v>42339</v>
      </c>
      <c r="B502" s="44">
        <v>2015.915</v>
      </c>
      <c r="C502" s="40">
        <f t="shared" si="96"/>
        <v>9100</v>
      </c>
      <c r="D502" s="44">
        <v>176.69</v>
      </c>
      <c r="E502" s="20">
        <f t="shared" si="97"/>
        <v>3.1831015504885842E-3</v>
      </c>
      <c r="F502" s="18">
        <f t="shared" si="98"/>
        <v>12.912111064779253</v>
      </c>
      <c r="G502" s="14">
        <f t="shared" si="99"/>
        <v>523.50900214847172</v>
      </c>
      <c r="H502" s="14">
        <f t="shared" si="101"/>
        <v>0.25807970660696355</v>
      </c>
      <c r="I502" s="19">
        <f t="shared" si="100"/>
        <v>4.9298045601471792E-4</v>
      </c>
      <c r="J502" s="14">
        <f t="shared" si="102"/>
        <v>203.19760214847173</v>
      </c>
      <c r="K502" s="14">
        <f t="shared" si="107"/>
        <v>23.855293404592942</v>
      </c>
      <c r="L502" s="14">
        <f t="shared" si="107"/>
        <v>0.49031535265868975</v>
      </c>
      <c r="M502" s="20">
        <f t="shared" si="105"/>
        <v>4.656874921950345E-2</v>
      </c>
    </row>
    <row r="503" spans="1:13" x14ac:dyDescent="0.25">
      <c r="A503" s="37">
        <v>42396</v>
      </c>
      <c r="B503">
        <v>2016.0740000000001</v>
      </c>
      <c r="C503" s="40">
        <f t="shared" si="96"/>
        <v>9157</v>
      </c>
      <c r="D503">
        <v>175.89</v>
      </c>
      <c r="E503" s="20">
        <f>((D503-D502)/10)/(2*3.14159)</f>
        <v>-1.2732406201955242E-2</v>
      </c>
      <c r="F503" s="18">
        <f>E503+F502</f>
        <v>12.899378658577298</v>
      </c>
      <c r="G503" s="14">
        <f>3.14*(F503^2)</f>
        <v>522.4770651009087</v>
      </c>
      <c r="H503" s="14">
        <f>G503-G502</f>
        <v>-1.0319370475630194</v>
      </c>
      <c r="I503" s="19">
        <f>H503/G503</f>
        <v>-1.9750858295831913E-3</v>
      </c>
      <c r="J503" s="14">
        <f>H503+J502</f>
        <v>202.16566510090871</v>
      </c>
      <c r="K503" s="14">
        <f>H503</f>
        <v>-1.0319370475630194</v>
      </c>
      <c r="L503" s="14">
        <f>I503+L502</f>
        <v>0.48834026682910658</v>
      </c>
      <c r="M503" s="20">
        <f>I503</f>
        <v>-1.9750858295831913E-3</v>
      </c>
    </row>
    <row r="504" spans="1:13" x14ac:dyDescent="0.25">
      <c r="A504" s="37">
        <v>42417</v>
      </c>
      <c r="B504">
        <v>2016.1310000000001</v>
      </c>
      <c r="C504" s="40">
        <f t="shared" si="96"/>
        <v>9178</v>
      </c>
      <c r="D504">
        <v>175.29</v>
      </c>
      <c r="E504" s="20">
        <f>((D504-D503)/10)/(2*3.14159)</f>
        <v>-9.5493046514662054E-3</v>
      </c>
      <c r="F504" s="18">
        <f>E504+F503</f>
        <v>12.889829353925832</v>
      </c>
      <c r="G504" s="14">
        <f>3.14*(F504^2)</f>
        <v>521.70378042824996</v>
      </c>
      <c r="H504" s="14">
        <f>G504-G503</f>
        <v>-0.77328467265874679</v>
      </c>
      <c r="I504" s="19">
        <f>H504/G504</f>
        <v>-1.4822293831644887E-3</v>
      </c>
      <c r="J504" s="14">
        <f>H504+J503</f>
        <v>201.39238042824996</v>
      </c>
      <c r="K504" s="14">
        <f>H504+K503</f>
        <v>-1.8052217202217662</v>
      </c>
      <c r="L504" s="14">
        <f>I504+L503</f>
        <v>0.48685803744594208</v>
      </c>
      <c r="M504" s="20">
        <f>I504+M503</f>
        <v>-3.45731521274768E-3</v>
      </c>
    </row>
    <row r="505" spans="1:13" x14ac:dyDescent="0.25">
      <c r="A505" s="37">
        <v>42430</v>
      </c>
      <c r="B505">
        <v>2016.1669999999999</v>
      </c>
      <c r="C505" s="40">
        <f t="shared" si="96"/>
        <v>9191</v>
      </c>
      <c r="D505">
        <v>175.34</v>
      </c>
      <c r="E505" s="20">
        <f t="shared" ref="E505:E539" si="108">((D505-D504)/10)/(2*3.14159)</f>
        <v>7.9577538762237233E-4</v>
      </c>
      <c r="F505" s="18">
        <f t="shared" ref="F505:F539" si="109">E505+F504</f>
        <v>12.890625129313454</v>
      </c>
      <c r="G505" s="14">
        <f t="shared" ref="G505:G539" si="110">3.14*(F505^2)</f>
        <v>521.76819894489074</v>
      </c>
      <c r="H505" s="14">
        <f t="shared" ref="H505:H539" si="111">G505-G504</f>
        <v>6.4418516640785128E-2</v>
      </c>
      <c r="I505" s="19">
        <f t="shared" ref="I505:I539" si="112">H505/G505</f>
        <v>1.2346194492314971E-4</v>
      </c>
      <c r="J505" s="14">
        <f t="shared" ref="J505:J539" si="113">H505+J504</f>
        <v>201.45679894489075</v>
      </c>
      <c r="K505" s="14">
        <f t="shared" ref="K505:L520" si="114">H505+K504</f>
        <v>-1.7408032035809811</v>
      </c>
      <c r="L505" s="14">
        <f t="shared" si="114"/>
        <v>0.48698149939086521</v>
      </c>
      <c r="M505" s="20">
        <f t="shared" ref="M505:M539" si="115">I505+M504</f>
        <v>-3.3338532678245303E-3</v>
      </c>
    </row>
    <row r="506" spans="1:13" x14ac:dyDescent="0.25">
      <c r="A506" s="37">
        <v>42439</v>
      </c>
      <c r="B506">
        <v>2016.191</v>
      </c>
      <c r="C506" s="40">
        <f t="shared" si="96"/>
        <v>9200</v>
      </c>
      <c r="D506">
        <v>175.19</v>
      </c>
      <c r="E506" s="20">
        <f t="shared" si="108"/>
        <v>-2.3873261628666645E-3</v>
      </c>
      <c r="F506" s="18">
        <f t="shared" si="109"/>
        <v>12.888237803150588</v>
      </c>
      <c r="G506" s="14">
        <f t="shared" si="110"/>
        <v>521.57495532555811</v>
      </c>
      <c r="H506" s="14">
        <f t="shared" si="111"/>
        <v>-0.1932436193326339</v>
      </c>
      <c r="I506" s="19">
        <f t="shared" si="112"/>
        <v>-3.7050018862967558E-4</v>
      </c>
      <c r="J506" s="14">
        <f t="shared" si="113"/>
        <v>201.26355532555812</v>
      </c>
      <c r="K506" s="14">
        <f t="shared" si="114"/>
        <v>-1.934046822913615</v>
      </c>
      <c r="L506" s="14">
        <f t="shared" si="114"/>
        <v>0.48661099920223555</v>
      </c>
      <c r="M506" s="20">
        <f t="shared" si="115"/>
        <v>-3.7043534564542057E-3</v>
      </c>
    </row>
    <row r="507" spans="1:13" x14ac:dyDescent="0.25">
      <c r="A507" s="37">
        <v>42446</v>
      </c>
      <c r="B507">
        <v>2016.21</v>
      </c>
      <c r="C507" s="40">
        <f t="shared" si="96"/>
        <v>9207</v>
      </c>
      <c r="D507">
        <v>175.29</v>
      </c>
      <c r="E507" s="20">
        <f t="shared" si="108"/>
        <v>1.5915507752442921E-3</v>
      </c>
      <c r="F507" s="18">
        <f t="shared" si="109"/>
        <v>12.889829353925832</v>
      </c>
      <c r="G507" s="14">
        <f t="shared" si="110"/>
        <v>521.70378042824996</v>
      </c>
      <c r="H507" s="14">
        <f t="shared" si="111"/>
        <v>0.12882510269184877</v>
      </c>
      <c r="I507" s="19">
        <f t="shared" si="112"/>
        <v>2.4693151080120671E-4</v>
      </c>
      <c r="J507" s="14">
        <f t="shared" si="113"/>
        <v>201.39238042824996</v>
      </c>
      <c r="K507" s="14">
        <f t="shared" si="114"/>
        <v>-1.8052217202217662</v>
      </c>
      <c r="L507" s="14">
        <f t="shared" si="114"/>
        <v>0.48685793071303674</v>
      </c>
      <c r="M507" s="20">
        <f t="shared" si="115"/>
        <v>-3.4574219456529991E-3</v>
      </c>
    </row>
    <row r="508" spans="1:13" x14ac:dyDescent="0.25">
      <c r="A508" s="37">
        <v>42447</v>
      </c>
      <c r="B508">
        <v>2016.213</v>
      </c>
      <c r="C508" s="40">
        <f t="shared" si="96"/>
        <v>9208</v>
      </c>
      <c r="D508">
        <v>175.29</v>
      </c>
      <c r="E508" s="20">
        <f t="shared" si="108"/>
        <v>0</v>
      </c>
      <c r="F508" s="18">
        <f t="shared" si="109"/>
        <v>12.889829353925832</v>
      </c>
      <c r="G508" s="14">
        <f t="shared" si="110"/>
        <v>521.70378042824996</v>
      </c>
      <c r="H508" s="14">
        <f t="shared" si="111"/>
        <v>0</v>
      </c>
      <c r="I508" s="19">
        <f t="shared" si="112"/>
        <v>0</v>
      </c>
      <c r="J508" s="14">
        <f t="shared" si="113"/>
        <v>201.39238042824996</v>
      </c>
      <c r="K508" s="14">
        <f t="shared" si="114"/>
        <v>-1.8052217202217662</v>
      </c>
      <c r="L508" s="14">
        <f t="shared" si="114"/>
        <v>0.48685793071303674</v>
      </c>
      <c r="M508" s="20">
        <f t="shared" si="115"/>
        <v>-3.4574219456529991E-3</v>
      </c>
    </row>
    <row r="509" spans="1:13" x14ac:dyDescent="0.25">
      <c r="A509" s="37">
        <v>42452</v>
      </c>
      <c r="B509">
        <v>2016.2270000000001</v>
      </c>
      <c r="C509" s="40">
        <f t="shared" si="96"/>
        <v>9213</v>
      </c>
      <c r="D509">
        <v>175.29</v>
      </c>
      <c r="E509" s="20">
        <f t="shared" si="108"/>
        <v>0</v>
      </c>
      <c r="F509" s="18">
        <f t="shared" si="109"/>
        <v>12.889829353925832</v>
      </c>
      <c r="G509" s="14">
        <f t="shared" si="110"/>
        <v>521.70378042824996</v>
      </c>
      <c r="H509" s="14">
        <f t="shared" si="111"/>
        <v>0</v>
      </c>
      <c r="I509" s="19">
        <f t="shared" si="112"/>
        <v>0</v>
      </c>
      <c r="J509" s="14">
        <f t="shared" si="113"/>
        <v>201.39238042824996</v>
      </c>
      <c r="K509" s="14">
        <f t="shared" si="114"/>
        <v>-1.8052217202217662</v>
      </c>
      <c r="L509" s="14">
        <f t="shared" si="114"/>
        <v>0.48685793071303674</v>
      </c>
      <c r="M509" s="20">
        <f t="shared" si="115"/>
        <v>-3.4574219456529991E-3</v>
      </c>
    </row>
    <row r="510" spans="1:13" x14ac:dyDescent="0.25">
      <c r="A510" s="37">
        <v>42458</v>
      </c>
      <c r="B510">
        <v>2016.2429999999999</v>
      </c>
      <c r="C510" s="40">
        <f t="shared" si="96"/>
        <v>9219</v>
      </c>
      <c r="D510">
        <v>175.39</v>
      </c>
      <c r="E510" s="20">
        <f t="shared" si="108"/>
        <v>1.5915507752442921E-3</v>
      </c>
      <c r="F510" s="18">
        <f t="shared" si="109"/>
        <v>12.891420904701075</v>
      </c>
      <c r="G510" s="14">
        <f t="shared" si="110"/>
        <v>521.83262143839465</v>
      </c>
      <c r="H510" s="14">
        <f t="shared" si="111"/>
        <v>0.12884101014469707</v>
      </c>
      <c r="I510" s="19">
        <f t="shared" si="112"/>
        <v>2.4690102697979275E-4</v>
      </c>
      <c r="J510" s="14">
        <f t="shared" si="113"/>
        <v>201.52122143839466</v>
      </c>
      <c r="K510" s="14">
        <f t="shared" si="114"/>
        <v>-1.6763807100770691</v>
      </c>
      <c r="L510" s="14">
        <f t="shared" si="114"/>
        <v>0.48710483174001651</v>
      </c>
      <c r="M510" s="20">
        <f t="shared" si="115"/>
        <v>-3.2105209186732062E-3</v>
      </c>
    </row>
    <row r="511" spans="1:13" x14ac:dyDescent="0.25">
      <c r="A511" s="37">
        <v>42465</v>
      </c>
      <c r="B511">
        <v>2016.2619999999999</v>
      </c>
      <c r="C511" s="40">
        <f t="shared" si="96"/>
        <v>9226</v>
      </c>
      <c r="D511">
        <v>175.59</v>
      </c>
      <c r="E511" s="20">
        <f t="shared" si="108"/>
        <v>3.1831015504890365E-3</v>
      </c>
      <c r="F511" s="18">
        <f t="shared" si="109"/>
        <v>12.894604006251564</v>
      </c>
      <c r="G511" s="14">
        <f t="shared" si="110"/>
        <v>522.09035118104214</v>
      </c>
      <c r="H511" s="14">
        <f t="shared" si="111"/>
        <v>0.25772974264748427</v>
      </c>
      <c r="I511" s="19">
        <f t="shared" si="112"/>
        <v>4.9364969504696495E-4</v>
      </c>
      <c r="J511" s="14">
        <f t="shared" si="113"/>
        <v>201.77895118104215</v>
      </c>
      <c r="K511" s="14">
        <f t="shared" si="114"/>
        <v>-1.4186509674295849</v>
      </c>
      <c r="L511" s="14">
        <f t="shared" si="114"/>
        <v>0.48759848143506346</v>
      </c>
      <c r="M511" s="20">
        <f t="shared" si="115"/>
        <v>-2.7168712236262413E-3</v>
      </c>
    </row>
    <row r="512" spans="1:13" x14ac:dyDescent="0.25">
      <c r="A512" s="37">
        <v>42473</v>
      </c>
      <c r="B512">
        <v>2016.2840000000001</v>
      </c>
      <c r="C512" s="40">
        <f t="shared" si="96"/>
        <v>9234</v>
      </c>
      <c r="D512">
        <v>176.89</v>
      </c>
      <c r="E512" s="20">
        <f t="shared" si="108"/>
        <v>2.06901600781767E-2</v>
      </c>
      <c r="F512" s="18">
        <f t="shared" si="109"/>
        <v>12.91529416632974</v>
      </c>
      <c r="G512" s="14">
        <f t="shared" si="110"/>
        <v>523.76714548488951</v>
      </c>
      <c r="H512" s="14">
        <f t="shared" si="111"/>
        <v>1.6767943038473732</v>
      </c>
      <c r="I512" s="19">
        <f t="shared" si="112"/>
        <v>3.2014117691460814E-3</v>
      </c>
      <c r="J512" s="14">
        <f t="shared" si="113"/>
        <v>203.45574548488952</v>
      </c>
      <c r="K512" s="14">
        <f t="shared" si="114"/>
        <v>0.2581433364177883</v>
      </c>
      <c r="L512" s="14">
        <f t="shared" si="114"/>
        <v>0.49079989320420953</v>
      </c>
      <c r="M512" s="20">
        <f t="shared" si="115"/>
        <v>4.8454054551984012E-4</v>
      </c>
    </row>
    <row r="513" spans="1:13" x14ac:dyDescent="0.25">
      <c r="A513" s="37">
        <v>42480</v>
      </c>
      <c r="B513">
        <v>2016.3030000000001</v>
      </c>
      <c r="C513" s="40">
        <f t="shared" si="96"/>
        <v>9241</v>
      </c>
      <c r="D513">
        <v>178.29</v>
      </c>
      <c r="E513" s="20">
        <f t="shared" si="108"/>
        <v>2.2281710853421448E-2</v>
      </c>
      <c r="F513" s="18">
        <f t="shared" si="109"/>
        <v>12.937575877183162</v>
      </c>
      <c r="G513" s="14">
        <f t="shared" si="110"/>
        <v>525.57593047451701</v>
      </c>
      <c r="H513" s="14">
        <f t="shared" si="111"/>
        <v>1.8087849896274975</v>
      </c>
      <c r="I513" s="19">
        <f t="shared" si="112"/>
        <v>3.4415293485651698E-3</v>
      </c>
      <c r="J513" s="14">
        <f t="shared" si="113"/>
        <v>205.26453047451702</v>
      </c>
      <c r="K513" s="14">
        <f t="shared" si="114"/>
        <v>2.0669283260452858</v>
      </c>
      <c r="L513" s="14">
        <f t="shared" si="114"/>
        <v>0.4942414225527747</v>
      </c>
      <c r="M513" s="20">
        <f t="shared" si="115"/>
        <v>3.9260698940850099E-3</v>
      </c>
    </row>
    <row r="514" spans="1:13" x14ac:dyDescent="0.25">
      <c r="A514" s="37">
        <v>42488</v>
      </c>
      <c r="B514">
        <v>2016.325</v>
      </c>
      <c r="C514" s="40">
        <f t="shared" ref="C514:C580" si="116">A514-33239</f>
        <v>9249</v>
      </c>
      <c r="D514">
        <v>178.94</v>
      </c>
      <c r="E514" s="20">
        <f t="shared" si="108"/>
        <v>1.0345080039088579E-2</v>
      </c>
      <c r="F514" s="18">
        <f t="shared" si="109"/>
        <v>12.947920957222252</v>
      </c>
      <c r="G514" s="14">
        <f t="shared" si="110"/>
        <v>526.41678333945208</v>
      </c>
      <c r="H514" s="14">
        <f t="shared" si="111"/>
        <v>0.84085286493507283</v>
      </c>
      <c r="I514" s="19">
        <f t="shared" si="112"/>
        <v>1.5973139374488015E-3</v>
      </c>
      <c r="J514" s="14">
        <f t="shared" si="113"/>
        <v>206.10538333945209</v>
      </c>
      <c r="K514" s="14">
        <f t="shared" si="114"/>
        <v>2.9077811909803586</v>
      </c>
      <c r="L514" s="14">
        <f t="shared" si="114"/>
        <v>0.49583873649022348</v>
      </c>
      <c r="M514" s="20">
        <f t="shared" si="115"/>
        <v>5.5233838315338112E-3</v>
      </c>
    </row>
    <row r="515" spans="1:13" x14ac:dyDescent="0.25">
      <c r="A515" s="37">
        <v>42495</v>
      </c>
      <c r="B515">
        <v>2016.3440000000001</v>
      </c>
      <c r="C515" s="40">
        <f t="shared" si="116"/>
        <v>9256</v>
      </c>
      <c r="D515">
        <v>181.19</v>
      </c>
      <c r="E515" s="20">
        <f t="shared" si="108"/>
        <v>3.5809892442998613E-2</v>
      </c>
      <c r="F515" s="18">
        <f t="shared" si="109"/>
        <v>12.98373084966525</v>
      </c>
      <c r="G515" s="14">
        <f t="shared" si="110"/>
        <v>529.33261767836416</v>
      </c>
      <c r="H515" s="14">
        <f t="shared" si="111"/>
        <v>2.9158343389120773</v>
      </c>
      <c r="I515" s="19">
        <f t="shared" si="112"/>
        <v>5.5085106066216603E-3</v>
      </c>
      <c r="J515" s="14">
        <f t="shared" si="113"/>
        <v>209.02121767836417</v>
      </c>
      <c r="K515" s="14">
        <f t="shared" si="114"/>
        <v>5.8236155298924359</v>
      </c>
      <c r="L515" s="14">
        <f t="shared" si="114"/>
        <v>0.50134724709684508</v>
      </c>
      <c r="M515" s="20">
        <f t="shared" si="115"/>
        <v>1.1031894438155471E-2</v>
      </c>
    </row>
    <row r="516" spans="1:13" x14ac:dyDescent="0.25">
      <c r="A516" s="37">
        <v>42500</v>
      </c>
      <c r="B516">
        <v>2016.3579999999999</v>
      </c>
      <c r="C516" s="40">
        <f t="shared" si="116"/>
        <v>9261</v>
      </c>
      <c r="D516">
        <v>181.24</v>
      </c>
      <c r="E516" s="20">
        <f t="shared" si="108"/>
        <v>7.9577538762237233E-4</v>
      </c>
      <c r="F516" s="18">
        <f t="shared" si="109"/>
        <v>12.984526625052872</v>
      </c>
      <c r="G516" s="14">
        <f t="shared" si="110"/>
        <v>529.39750546485982</v>
      </c>
      <c r="H516" s="14">
        <f t="shared" si="111"/>
        <v>6.4887786495660293E-2</v>
      </c>
      <c r="I516" s="19">
        <f t="shared" si="112"/>
        <v>1.2256912022787648E-4</v>
      </c>
      <c r="J516" s="14">
        <f t="shared" si="113"/>
        <v>209.08610546485983</v>
      </c>
      <c r="K516" s="14">
        <f t="shared" si="114"/>
        <v>5.8885033163880962</v>
      </c>
      <c r="L516" s="14">
        <f t="shared" si="114"/>
        <v>0.50146981621707298</v>
      </c>
      <c r="M516" s="20">
        <f t="shared" si="115"/>
        <v>1.1154463558383346E-2</v>
      </c>
    </row>
    <row r="517" spans="1:13" x14ac:dyDescent="0.25">
      <c r="A517" s="37">
        <v>42508</v>
      </c>
      <c r="B517">
        <v>2016.38</v>
      </c>
      <c r="C517" s="40">
        <f t="shared" si="116"/>
        <v>9269</v>
      </c>
      <c r="D517">
        <v>183.69</v>
      </c>
      <c r="E517" s="20">
        <f t="shared" si="108"/>
        <v>3.8992993993487192E-2</v>
      </c>
      <c r="F517" s="18">
        <f t="shared" si="109"/>
        <v>13.023519619046359</v>
      </c>
      <c r="G517" s="14">
        <f t="shared" si="110"/>
        <v>532.58187866053231</v>
      </c>
      <c r="H517" s="14">
        <f t="shared" si="111"/>
        <v>3.1843731956724923</v>
      </c>
      <c r="I517" s="19">
        <f t="shared" si="112"/>
        <v>5.9791241934129191E-3</v>
      </c>
      <c r="J517" s="14">
        <f t="shared" si="113"/>
        <v>212.27047866053232</v>
      </c>
      <c r="K517" s="14">
        <f t="shared" si="114"/>
        <v>9.0728765120605885</v>
      </c>
      <c r="L517" s="14">
        <f t="shared" si="114"/>
        <v>0.50744894041048594</v>
      </c>
      <c r="M517" s="20">
        <f t="shared" si="115"/>
        <v>1.7133587751796266E-2</v>
      </c>
    </row>
    <row r="518" spans="1:13" x14ac:dyDescent="0.25">
      <c r="A518" s="37">
        <v>42514</v>
      </c>
      <c r="B518">
        <v>2016.396</v>
      </c>
      <c r="C518" s="40">
        <f t="shared" si="116"/>
        <v>9275</v>
      </c>
      <c r="D518">
        <v>182.74</v>
      </c>
      <c r="E518" s="20">
        <f t="shared" si="108"/>
        <v>-1.5119732364821455E-2</v>
      </c>
      <c r="F518" s="18">
        <f t="shared" si="109"/>
        <v>13.008399886681538</v>
      </c>
      <c r="G518" s="14">
        <f t="shared" si="110"/>
        <v>531.34598830110303</v>
      </c>
      <c r="H518" s="14">
        <f t="shared" si="111"/>
        <v>-1.2358903594292769</v>
      </c>
      <c r="I518" s="19">
        <f t="shared" si="112"/>
        <v>-2.3259615893230813E-3</v>
      </c>
      <c r="J518" s="14">
        <f t="shared" si="113"/>
        <v>211.03458830110304</v>
      </c>
      <c r="K518" s="14">
        <f t="shared" si="114"/>
        <v>7.8369861526313116</v>
      </c>
      <c r="L518" s="14">
        <f t="shared" si="114"/>
        <v>0.50512297882116286</v>
      </c>
      <c r="M518" s="20">
        <f t="shared" si="115"/>
        <v>1.4807626162473185E-2</v>
      </c>
    </row>
    <row r="519" spans="1:13" x14ac:dyDescent="0.25">
      <c r="A519" s="37">
        <v>42521</v>
      </c>
      <c r="B519">
        <v>2016.415</v>
      </c>
      <c r="C519" s="40">
        <f t="shared" si="116"/>
        <v>9282</v>
      </c>
      <c r="D519">
        <v>183.69</v>
      </c>
      <c r="E519" s="20">
        <f t="shared" si="108"/>
        <v>1.5119732364821455E-2</v>
      </c>
      <c r="F519" s="18">
        <f t="shared" si="109"/>
        <v>13.023519619046359</v>
      </c>
      <c r="G519" s="14">
        <f t="shared" si="110"/>
        <v>532.58187866053231</v>
      </c>
      <c r="H519" s="14">
        <f t="shared" si="111"/>
        <v>1.2358903594292769</v>
      </c>
      <c r="I519" s="19">
        <f t="shared" si="112"/>
        <v>2.3205640464853921E-3</v>
      </c>
      <c r="J519" s="14">
        <f t="shared" si="113"/>
        <v>212.27047866053232</v>
      </c>
      <c r="K519" s="14">
        <f t="shared" si="114"/>
        <v>9.0728765120605885</v>
      </c>
      <c r="L519" s="14">
        <f t="shared" si="114"/>
        <v>0.50744354286764826</v>
      </c>
      <c r="M519" s="20">
        <f t="shared" si="115"/>
        <v>1.7128190208958578E-2</v>
      </c>
    </row>
    <row r="520" spans="1:13" x14ac:dyDescent="0.25">
      <c r="A520" s="37">
        <v>42528</v>
      </c>
      <c r="B520">
        <v>2016.434</v>
      </c>
      <c r="C520" s="40">
        <f t="shared" si="116"/>
        <v>9289</v>
      </c>
      <c r="D520">
        <v>183.64</v>
      </c>
      <c r="E520" s="20">
        <f t="shared" si="108"/>
        <v>-7.9577538762237233E-4</v>
      </c>
      <c r="F520" s="18">
        <f t="shared" si="109"/>
        <v>13.022723843658737</v>
      </c>
      <c r="G520" s="14">
        <f t="shared" si="110"/>
        <v>532.51679600774105</v>
      </c>
      <c r="H520" s="14">
        <f t="shared" si="111"/>
        <v>-6.5082652791261353E-2</v>
      </c>
      <c r="I520" s="19">
        <f t="shared" si="112"/>
        <v>-1.222170892621296E-4</v>
      </c>
      <c r="J520" s="14">
        <f t="shared" si="113"/>
        <v>212.20539600774106</v>
      </c>
      <c r="K520" s="14">
        <f t="shared" si="114"/>
        <v>9.0077938592693272</v>
      </c>
      <c r="L520" s="14">
        <f t="shared" si="114"/>
        <v>0.50732132577838618</v>
      </c>
      <c r="M520" s="20">
        <f t="shared" si="115"/>
        <v>1.7005973119696448E-2</v>
      </c>
    </row>
    <row r="521" spans="1:13" x14ac:dyDescent="0.25">
      <c r="A521" s="37">
        <v>42536</v>
      </c>
      <c r="B521">
        <v>2016.4559999999999</v>
      </c>
      <c r="C521" s="40">
        <f t="shared" si="116"/>
        <v>9297</v>
      </c>
      <c r="D521">
        <v>183.74</v>
      </c>
      <c r="E521" s="20">
        <f t="shared" si="108"/>
        <v>1.5915507752447447E-3</v>
      </c>
      <c r="F521" s="18">
        <f t="shared" si="109"/>
        <v>13.024315394433982</v>
      </c>
      <c r="G521" s="14">
        <f t="shared" si="110"/>
        <v>532.6469652901867</v>
      </c>
      <c r="H521" s="14">
        <f t="shared" si="111"/>
        <v>0.13016928244564951</v>
      </c>
      <c r="I521" s="19">
        <f t="shared" si="112"/>
        <v>2.4438190945992366E-4</v>
      </c>
      <c r="J521" s="14">
        <f t="shared" si="113"/>
        <v>212.33556529018671</v>
      </c>
      <c r="K521" s="14">
        <f t="shared" ref="K521:L536" si="117">H521+K520</f>
        <v>9.1379631417149767</v>
      </c>
      <c r="L521" s="14">
        <f t="shared" si="117"/>
        <v>0.50756570768784615</v>
      </c>
      <c r="M521" s="20">
        <f t="shared" si="115"/>
        <v>1.725035502915637E-2</v>
      </c>
    </row>
    <row r="522" spans="1:13" x14ac:dyDescent="0.25">
      <c r="A522" s="37">
        <v>42571</v>
      </c>
      <c r="B522">
        <v>2016.5519999999999</v>
      </c>
      <c r="C522" s="40">
        <f t="shared" si="116"/>
        <v>9332</v>
      </c>
      <c r="D522">
        <v>181.89</v>
      </c>
      <c r="E522" s="20">
        <f t="shared" si="108"/>
        <v>-2.9443689342021441E-2</v>
      </c>
      <c r="F522" s="18">
        <f t="shared" si="109"/>
        <v>12.99487170509196</v>
      </c>
      <c r="G522" s="14">
        <f t="shared" si="110"/>
        <v>530.2414085838509</v>
      </c>
      <c r="H522" s="14">
        <f t="shared" si="111"/>
        <v>-2.4055567063358012</v>
      </c>
      <c r="I522" s="19">
        <f t="shared" si="112"/>
        <v>-4.5367198174138699E-3</v>
      </c>
      <c r="J522" s="14">
        <f t="shared" si="113"/>
        <v>209.93000858385091</v>
      </c>
      <c r="K522" s="14">
        <f t="shared" si="117"/>
        <v>6.7324064353791755</v>
      </c>
      <c r="L522" s="14">
        <f t="shared" si="117"/>
        <v>0.50302898787043226</v>
      </c>
      <c r="M522" s="20">
        <f t="shared" si="115"/>
        <v>1.2713635211742499E-2</v>
      </c>
    </row>
    <row r="523" spans="1:13" x14ac:dyDescent="0.25">
      <c r="A523" s="37">
        <v>42578</v>
      </c>
      <c r="B523">
        <v>2016.5709999999999</v>
      </c>
      <c r="C523" s="40">
        <f t="shared" si="116"/>
        <v>9339</v>
      </c>
      <c r="D523">
        <v>181.89</v>
      </c>
      <c r="E523" s="20">
        <f t="shared" si="108"/>
        <v>0</v>
      </c>
      <c r="F523" s="18">
        <f t="shared" si="109"/>
        <v>12.99487170509196</v>
      </c>
      <c r="G523" s="14">
        <f t="shared" si="110"/>
        <v>530.2414085838509</v>
      </c>
      <c r="H523" s="14">
        <f t="shared" si="111"/>
        <v>0</v>
      </c>
      <c r="I523" s="19">
        <f t="shared" si="112"/>
        <v>0</v>
      </c>
      <c r="J523" s="14">
        <f t="shared" si="113"/>
        <v>209.93000858385091</v>
      </c>
      <c r="K523" s="14">
        <f t="shared" si="117"/>
        <v>6.7324064353791755</v>
      </c>
      <c r="L523" s="14">
        <f t="shared" si="117"/>
        <v>0.50302898787043226</v>
      </c>
      <c r="M523" s="20">
        <f t="shared" si="115"/>
        <v>1.2713635211742499E-2</v>
      </c>
    </row>
    <row r="524" spans="1:13" x14ac:dyDescent="0.25">
      <c r="A524" s="37">
        <v>42584</v>
      </c>
      <c r="B524">
        <v>2016.587</v>
      </c>
      <c r="C524" s="40">
        <f t="shared" si="116"/>
        <v>9345</v>
      </c>
      <c r="D524">
        <v>182.39</v>
      </c>
      <c r="E524" s="20">
        <f t="shared" si="108"/>
        <v>7.9577538762219142E-3</v>
      </c>
      <c r="F524" s="18">
        <f t="shared" si="109"/>
        <v>13.002829458968181</v>
      </c>
      <c r="G524" s="14">
        <f t="shared" si="110"/>
        <v>530.89102216849381</v>
      </c>
      <c r="H524" s="14">
        <f t="shared" si="111"/>
        <v>0.64961358464290697</v>
      </c>
      <c r="I524" s="19">
        <f t="shared" si="112"/>
        <v>1.2236288758274256E-3</v>
      </c>
      <c r="J524" s="14">
        <f t="shared" si="113"/>
        <v>210.57962216849381</v>
      </c>
      <c r="K524" s="14">
        <f t="shared" si="117"/>
        <v>7.3820200200220825</v>
      </c>
      <c r="L524" s="14">
        <f t="shared" si="117"/>
        <v>0.50425261674625965</v>
      </c>
      <c r="M524" s="20">
        <f t="shared" si="115"/>
        <v>1.3937264087569925E-2</v>
      </c>
    </row>
    <row r="525" spans="1:13" x14ac:dyDescent="0.25">
      <c r="A525" s="37">
        <v>42591</v>
      </c>
      <c r="B525">
        <v>2016.607</v>
      </c>
      <c r="C525" s="40">
        <f t="shared" si="116"/>
        <v>9352</v>
      </c>
      <c r="D525">
        <v>183.89</v>
      </c>
      <c r="E525" s="20">
        <f t="shared" si="108"/>
        <v>2.3873261628665741E-2</v>
      </c>
      <c r="F525" s="18">
        <f t="shared" si="109"/>
        <v>13.026702720596846</v>
      </c>
      <c r="G525" s="14">
        <f t="shared" si="110"/>
        <v>532.84224904032862</v>
      </c>
      <c r="H525" s="14">
        <f t="shared" si="111"/>
        <v>1.9512268718348196</v>
      </c>
      <c r="I525" s="19">
        <f t="shared" si="112"/>
        <v>3.6619222205991763E-3</v>
      </c>
      <c r="J525" s="14">
        <f t="shared" si="113"/>
        <v>212.53084904032863</v>
      </c>
      <c r="K525" s="14">
        <f t="shared" si="117"/>
        <v>9.333246891856902</v>
      </c>
      <c r="L525" s="14">
        <f t="shared" si="117"/>
        <v>0.50791453896685879</v>
      </c>
      <c r="M525" s="20">
        <f t="shared" si="115"/>
        <v>1.7599186308169101E-2</v>
      </c>
    </row>
    <row r="526" spans="1:13" x14ac:dyDescent="0.25">
      <c r="A526" s="37">
        <v>42598</v>
      </c>
      <c r="B526">
        <v>2016.626</v>
      </c>
      <c r="C526" s="40">
        <f t="shared" si="116"/>
        <v>9359</v>
      </c>
      <c r="D526">
        <v>184.09</v>
      </c>
      <c r="E526" s="20">
        <f t="shared" si="108"/>
        <v>3.1831015504890365E-3</v>
      </c>
      <c r="F526" s="18">
        <f t="shared" si="109"/>
        <v>13.029885822147335</v>
      </c>
      <c r="G526" s="14">
        <f t="shared" si="110"/>
        <v>533.10268304993588</v>
      </c>
      <c r="H526" s="14">
        <f t="shared" si="111"/>
        <v>0.26043400960725194</v>
      </c>
      <c r="I526" s="19">
        <f t="shared" si="112"/>
        <v>4.8852504008661498E-4</v>
      </c>
      <c r="J526" s="14">
        <f t="shared" si="113"/>
        <v>212.79128304993588</v>
      </c>
      <c r="K526" s="14">
        <f t="shared" si="117"/>
        <v>9.593680901464154</v>
      </c>
      <c r="L526" s="14">
        <f t="shared" si="117"/>
        <v>0.50840306400694535</v>
      </c>
      <c r="M526" s="20">
        <f t="shared" si="115"/>
        <v>1.8087711348255715E-2</v>
      </c>
    </row>
    <row r="527" spans="1:13" x14ac:dyDescent="0.25">
      <c r="A527" s="37">
        <v>42605</v>
      </c>
      <c r="B527">
        <v>2016.645</v>
      </c>
      <c r="C527" s="40">
        <f t="shared" si="116"/>
        <v>9366</v>
      </c>
      <c r="D527">
        <v>184.89</v>
      </c>
      <c r="E527" s="20">
        <f t="shared" si="108"/>
        <v>1.273240620195479E-2</v>
      </c>
      <c r="F527" s="18">
        <f t="shared" si="109"/>
        <v>13.042618228349291</v>
      </c>
      <c r="G527" s="14">
        <f t="shared" si="110"/>
        <v>534.14505538647325</v>
      </c>
      <c r="H527" s="14">
        <f t="shared" si="111"/>
        <v>1.0423723365373689</v>
      </c>
      <c r="I527" s="19">
        <f t="shared" si="112"/>
        <v>1.9514780227314374E-3</v>
      </c>
      <c r="J527" s="14">
        <f t="shared" si="113"/>
        <v>213.83365538647325</v>
      </c>
      <c r="K527" s="14">
        <f t="shared" si="117"/>
        <v>10.636053238001523</v>
      </c>
      <c r="L527" s="14">
        <f t="shared" si="117"/>
        <v>0.51035454202967678</v>
      </c>
      <c r="M527" s="20">
        <f t="shared" si="115"/>
        <v>2.0039189370987153E-2</v>
      </c>
    </row>
    <row r="528" spans="1:13" x14ac:dyDescent="0.25">
      <c r="A528" s="37">
        <v>42612</v>
      </c>
      <c r="B528">
        <v>2016.664</v>
      </c>
      <c r="C528" s="40">
        <f t="shared" si="116"/>
        <v>9373</v>
      </c>
      <c r="D528">
        <v>185.29</v>
      </c>
      <c r="E528" s="20">
        <f t="shared" si="108"/>
        <v>6.3662031009776212E-3</v>
      </c>
      <c r="F528" s="18">
        <f t="shared" si="109"/>
        <v>13.048984431450268</v>
      </c>
      <c r="G528" s="14">
        <f t="shared" si="110"/>
        <v>534.66662333360682</v>
      </c>
      <c r="H528" s="14">
        <f t="shared" si="111"/>
        <v>0.52156794713357613</v>
      </c>
      <c r="I528" s="19">
        <f t="shared" si="112"/>
        <v>9.7550122706676278E-4</v>
      </c>
      <c r="J528" s="14">
        <f t="shared" si="113"/>
        <v>214.35522333360683</v>
      </c>
      <c r="K528" s="14">
        <f t="shared" si="117"/>
        <v>11.157621185135099</v>
      </c>
      <c r="L528" s="14">
        <f t="shared" si="117"/>
        <v>0.51133004325674358</v>
      </c>
      <c r="M528" s="20">
        <f t="shared" si="115"/>
        <v>2.1014690598053914E-2</v>
      </c>
    </row>
    <row r="529" spans="1:13" x14ac:dyDescent="0.25">
      <c r="A529" s="37">
        <v>42619</v>
      </c>
      <c r="B529">
        <v>2016.683</v>
      </c>
      <c r="C529" s="40">
        <f t="shared" si="116"/>
        <v>9380</v>
      </c>
      <c r="D529">
        <v>185.79</v>
      </c>
      <c r="E529" s="20">
        <f t="shared" si="108"/>
        <v>7.9577538762219142E-3</v>
      </c>
      <c r="F529" s="18">
        <f t="shared" si="109"/>
        <v>13.05694218532649</v>
      </c>
      <c r="G529" s="14">
        <f t="shared" si="110"/>
        <v>535.31894118520972</v>
      </c>
      <c r="H529" s="14">
        <f t="shared" si="111"/>
        <v>0.65231785160290201</v>
      </c>
      <c r="I529" s="19">
        <f t="shared" si="112"/>
        <v>1.2185592576990714E-3</v>
      </c>
      <c r="J529" s="14">
        <f t="shared" si="113"/>
        <v>215.00754118520973</v>
      </c>
      <c r="K529" s="14">
        <f t="shared" si="117"/>
        <v>11.809939036738001</v>
      </c>
      <c r="L529" s="14">
        <f t="shared" si="117"/>
        <v>0.51254860251444267</v>
      </c>
      <c r="M529" s="20">
        <f t="shared" si="115"/>
        <v>2.2233249855752986E-2</v>
      </c>
    </row>
    <row r="530" spans="1:13" x14ac:dyDescent="0.25">
      <c r="A530" s="37">
        <v>42626</v>
      </c>
      <c r="B530">
        <v>2016.702</v>
      </c>
      <c r="C530" s="40">
        <f t="shared" si="116"/>
        <v>9387</v>
      </c>
      <c r="D530">
        <v>185.79</v>
      </c>
      <c r="E530" s="20">
        <f t="shared" si="108"/>
        <v>0</v>
      </c>
      <c r="F530" s="18">
        <f t="shared" si="109"/>
        <v>13.05694218532649</v>
      </c>
      <c r="G530" s="14">
        <f t="shared" si="110"/>
        <v>535.31894118520972</v>
      </c>
      <c r="H530" s="14">
        <f t="shared" si="111"/>
        <v>0</v>
      </c>
      <c r="I530" s="19">
        <f t="shared" si="112"/>
        <v>0</v>
      </c>
      <c r="J530" s="14">
        <f t="shared" si="113"/>
        <v>215.00754118520973</v>
      </c>
      <c r="K530" s="14">
        <f t="shared" si="117"/>
        <v>11.809939036738001</v>
      </c>
      <c r="L530" s="14">
        <f t="shared" si="117"/>
        <v>0.51254860251444267</v>
      </c>
      <c r="M530" s="20">
        <f t="shared" si="115"/>
        <v>2.2233249855752986E-2</v>
      </c>
    </row>
    <row r="531" spans="1:13" x14ac:dyDescent="0.25">
      <c r="A531" s="37">
        <v>42633</v>
      </c>
      <c r="B531">
        <v>2016.721</v>
      </c>
      <c r="C531" s="40">
        <f t="shared" si="116"/>
        <v>9394</v>
      </c>
      <c r="D531">
        <v>185.64</v>
      </c>
      <c r="E531" s="20">
        <f t="shared" si="108"/>
        <v>-2.3873261628666645E-3</v>
      </c>
      <c r="F531" s="18">
        <f t="shared" si="109"/>
        <v>13.054554859163623</v>
      </c>
      <c r="G531" s="14">
        <f t="shared" si="110"/>
        <v>535.12320407266543</v>
      </c>
      <c r="H531" s="14">
        <f t="shared" si="111"/>
        <v>-0.19573711254429327</v>
      </c>
      <c r="I531" s="19">
        <f t="shared" si="112"/>
        <v>-3.6577952713430408E-4</v>
      </c>
      <c r="J531" s="14">
        <f t="shared" si="113"/>
        <v>214.81180407266544</v>
      </c>
      <c r="K531" s="14">
        <f t="shared" si="117"/>
        <v>11.614201924193708</v>
      </c>
      <c r="L531" s="14">
        <f t="shared" si="117"/>
        <v>0.51218282298730833</v>
      </c>
      <c r="M531" s="20">
        <f t="shared" si="115"/>
        <v>2.1867470328618681E-2</v>
      </c>
    </row>
    <row r="532" spans="1:13" x14ac:dyDescent="0.25">
      <c r="A532" s="37">
        <v>42640</v>
      </c>
      <c r="B532">
        <v>2016.74</v>
      </c>
      <c r="C532" s="40">
        <f t="shared" si="116"/>
        <v>9401</v>
      </c>
      <c r="D532">
        <v>185.59</v>
      </c>
      <c r="E532" s="20">
        <f t="shared" si="108"/>
        <v>-7.9577538762192E-4</v>
      </c>
      <c r="F532" s="18">
        <f t="shared" si="109"/>
        <v>13.053759083776001</v>
      </c>
      <c r="G532" s="14">
        <f t="shared" si="110"/>
        <v>535.0579663222104</v>
      </c>
      <c r="H532" s="14">
        <f t="shared" si="111"/>
        <v>-6.5237750455025889E-2</v>
      </c>
      <c r="I532" s="19">
        <f t="shared" si="112"/>
        <v>-1.21926509950774E-4</v>
      </c>
      <c r="J532" s="14">
        <f t="shared" si="113"/>
        <v>214.74656632221041</v>
      </c>
      <c r="K532" s="14">
        <f t="shared" si="117"/>
        <v>11.548964173738682</v>
      </c>
      <c r="L532" s="14">
        <f t="shared" si="117"/>
        <v>0.51206089647735753</v>
      </c>
      <c r="M532" s="20">
        <f t="shared" si="115"/>
        <v>2.1745543818667907E-2</v>
      </c>
    </row>
    <row r="533" spans="1:13" x14ac:dyDescent="0.25">
      <c r="A533" s="37">
        <v>42647</v>
      </c>
      <c r="B533">
        <v>2016.76</v>
      </c>
      <c r="C533" s="40">
        <f t="shared" si="116"/>
        <v>9408</v>
      </c>
      <c r="D533">
        <v>185.49</v>
      </c>
      <c r="E533" s="20">
        <f t="shared" si="108"/>
        <v>-1.5915507752442921E-3</v>
      </c>
      <c r="F533" s="18">
        <f t="shared" si="109"/>
        <v>13.052167533000757</v>
      </c>
      <c r="G533" s="14">
        <f t="shared" si="110"/>
        <v>534.92750275188996</v>
      </c>
      <c r="H533" s="14">
        <f t="shared" si="111"/>
        <v>-0.13046357032044398</v>
      </c>
      <c r="I533" s="19">
        <f t="shared" si="112"/>
        <v>-2.4389019007114984E-4</v>
      </c>
      <c r="J533" s="14">
        <f t="shared" si="113"/>
        <v>214.61610275188997</v>
      </c>
      <c r="K533" s="14">
        <f t="shared" si="117"/>
        <v>11.418500603418238</v>
      </c>
      <c r="L533" s="14">
        <f t="shared" si="117"/>
        <v>0.51181700628728644</v>
      </c>
      <c r="M533" s="20">
        <f t="shared" si="115"/>
        <v>2.1501653628596757E-2</v>
      </c>
    </row>
    <row r="534" spans="1:13" x14ac:dyDescent="0.25">
      <c r="A534" s="37">
        <v>42654</v>
      </c>
      <c r="B534">
        <v>2016.779</v>
      </c>
      <c r="C534" s="40">
        <f t="shared" si="116"/>
        <v>9415</v>
      </c>
      <c r="D534">
        <v>185.29</v>
      </c>
      <c r="E534" s="20">
        <f t="shared" si="108"/>
        <v>-3.1831015504890365E-3</v>
      </c>
      <c r="F534" s="18">
        <f t="shared" si="109"/>
        <v>13.048984431450268</v>
      </c>
      <c r="G534" s="14">
        <f t="shared" si="110"/>
        <v>534.66662333360682</v>
      </c>
      <c r="H534" s="14">
        <f t="shared" si="111"/>
        <v>-0.26087941828313888</v>
      </c>
      <c r="I534" s="19">
        <f t="shared" si="112"/>
        <v>-4.879291261096027E-4</v>
      </c>
      <c r="J534" s="14">
        <f t="shared" si="113"/>
        <v>214.35522333360683</v>
      </c>
      <c r="K534" s="14">
        <f t="shared" si="117"/>
        <v>11.157621185135099</v>
      </c>
      <c r="L534" s="14">
        <f t="shared" si="117"/>
        <v>0.51132907716117681</v>
      </c>
      <c r="M534" s="20">
        <f t="shared" si="115"/>
        <v>2.1013724502487154E-2</v>
      </c>
    </row>
    <row r="535" spans="1:13" x14ac:dyDescent="0.25">
      <c r="A535" s="37">
        <v>42661</v>
      </c>
      <c r="B535">
        <v>2016.798</v>
      </c>
      <c r="C535" s="40">
        <f t="shared" si="116"/>
        <v>9422</v>
      </c>
      <c r="D535">
        <v>185.19</v>
      </c>
      <c r="E535" s="20">
        <f t="shared" si="108"/>
        <v>-1.5915507752442921E-3</v>
      </c>
      <c r="F535" s="18">
        <f t="shared" si="109"/>
        <v>13.047392880675025</v>
      </c>
      <c r="G535" s="14">
        <f t="shared" si="110"/>
        <v>534.53620748564447</v>
      </c>
      <c r="H535" s="14">
        <f t="shared" si="111"/>
        <v>-0.13041584796235384</v>
      </c>
      <c r="I535" s="19">
        <f t="shared" si="112"/>
        <v>-2.4397944636118273E-4</v>
      </c>
      <c r="J535" s="14">
        <f t="shared" si="113"/>
        <v>214.22480748564448</v>
      </c>
      <c r="K535" s="14">
        <f t="shared" si="117"/>
        <v>11.027205337172745</v>
      </c>
      <c r="L535" s="14">
        <f t="shared" si="117"/>
        <v>0.51108509771481558</v>
      </c>
      <c r="M535" s="20">
        <f t="shared" si="115"/>
        <v>2.0769745056125971E-2</v>
      </c>
    </row>
    <row r="536" spans="1:13" x14ac:dyDescent="0.25">
      <c r="A536" s="37">
        <v>42668</v>
      </c>
      <c r="B536">
        <v>2016.817</v>
      </c>
      <c r="C536" s="40">
        <f t="shared" si="116"/>
        <v>9429</v>
      </c>
      <c r="D536">
        <v>185.29</v>
      </c>
      <c r="E536" s="20">
        <f t="shared" si="108"/>
        <v>1.5915507752442921E-3</v>
      </c>
      <c r="F536" s="18">
        <f t="shared" si="109"/>
        <v>13.048984431450268</v>
      </c>
      <c r="G536" s="14">
        <f t="shared" si="110"/>
        <v>534.66662333360682</v>
      </c>
      <c r="H536" s="14">
        <f t="shared" si="111"/>
        <v>0.13041584796235384</v>
      </c>
      <c r="I536" s="19">
        <f t="shared" si="112"/>
        <v>2.4391993491050681E-4</v>
      </c>
      <c r="J536" s="14">
        <f t="shared" si="113"/>
        <v>214.35522333360683</v>
      </c>
      <c r="K536" s="14">
        <f t="shared" si="117"/>
        <v>11.157621185135099</v>
      </c>
      <c r="L536" s="14">
        <f t="shared" si="117"/>
        <v>0.51132901764972605</v>
      </c>
      <c r="M536" s="20">
        <f t="shared" si="115"/>
        <v>2.1013664991036476E-2</v>
      </c>
    </row>
    <row r="537" spans="1:13" x14ac:dyDescent="0.25">
      <c r="A537" s="37">
        <v>42675</v>
      </c>
      <c r="B537">
        <v>2016.836</v>
      </c>
      <c r="C537" s="40">
        <f t="shared" si="116"/>
        <v>9436</v>
      </c>
      <c r="D537">
        <v>185.19</v>
      </c>
      <c r="E537" s="20">
        <f t="shared" si="108"/>
        <v>-1.5915507752442921E-3</v>
      </c>
      <c r="F537" s="18">
        <f t="shared" si="109"/>
        <v>13.047392880675025</v>
      </c>
      <c r="G537" s="14">
        <f t="shared" si="110"/>
        <v>534.53620748564447</v>
      </c>
      <c r="H537" s="14">
        <f t="shared" si="111"/>
        <v>-0.13041584796235384</v>
      </c>
      <c r="I537" s="19">
        <f t="shared" si="112"/>
        <v>-2.4397944636118273E-4</v>
      </c>
      <c r="J537" s="14">
        <f t="shared" si="113"/>
        <v>214.22480748564448</v>
      </c>
      <c r="K537" s="14">
        <f t="shared" ref="K537:L539" si="118">H537+K536</f>
        <v>11.027205337172745</v>
      </c>
      <c r="L537" s="14">
        <f t="shared" si="118"/>
        <v>0.51108503820336482</v>
      </c>
      <c r="M537" s="20">
        <f t="shared" si="115"/>
        <v>2.0769685544675294E-2</v>
      </c>
    </row>
    <row r="538" spans="1:13" x14ac:dyDescent="0.25">
      <c r="A538" s="37">
        <v>42725</v>
      </c>
      <c r="B538">
        <v>2016.973</v>
      </c>
      <c r="C538" s="40">
        <f t="shared" si="116"/>
        <v>9486</v>
      </c>
      <c r="D538">
        <v>185.89</v>
      </c>
      <c r="E538" s="20">
        <f t="shared" si="108"/>
        <v>1.1140855426710498E-2</v>
      </c>
      <c r="F538" s="18">
        <f t="shared" si="109"/>
        <v>13.058533736101735</v>
      </c>
      <c r="G538" s="14">
        <f t="shared" si="110"/>
        <v>535.44945247788849</v>
      </c>
      <c r="H538" s="14">
        <f t="shared" si="111"/>
        <v>0.91324499224401734</v>
      </c>
      <c r="I538" s="19">
        <f t="shared" si="112"/>
        <v>1.7055671418054724E-3</v>
      </c>
      <c r="J538" s="14">
        <f t="shared" si="113"/>
        <v>215.13805247788849</v>
      </c>
      <c r="K538" s="14">
        <f t="shared" si="118"/>
        <v>11.940450329416763</v>
      </c>
      <c r="L538" s="14">
        <f t="shared" si="118"/>
        <v>0.51279060534517029</v>
      </c>
      <c r="M538" s="20">
        <f t="shared" si="115"/>
        <v>2.2475252686480766E-2</v>
      </c>
    </row>
    <row r="539" spans="1:13" x14ac:dyDescent="0.25">
      <c r="A539" s="37">
        <v>42733</v>
      </c>
      <c r="B539">
        <v>2016.9949999999999</v>
      </c>
      <c r="C539" s="40">
        <f t="shared" si="116"/>
        <v>9494</v>
      </c>
      <c r="D539">
        <v>187.39</v>
      </c>
      <c r="E539" s="20">
        <f t="shared" si="108"/>
        <v>2.3873261628665741E-2</v>
      </c>
      <c r="F539" s="18">
        <f t="shared" si="109"/>
        <v>13.0824069977304</v>
      </c>
      <c r="G539" s="14">
        <f t="shared" si="110"/>
        <v>537.40903076239317</v>
      </c>
      <c r="H539" s="14">
        <f t="shared" si="111"/>
        <v>1.959578284504687</v>
      </c>
      <c r="I539" s="19">
        <f t="shared" si="112"/>
        <v>3.6463441667973816E-3</v>
      </c>
      <c r="J539" s="14">
        <f t="shared" si="113"/>
        <v>217.09763076239318</v>
      </c>
      <c r="K539" s="14">
        <f t="shared" si="118"/>
        <v>13.90002861392145</v>
      </c>
      <c r="L539" s="14">
        <f t="shared" si="118"/>
        <v>0.51643694951196772</v>
      </c>
      <c r="M539" s="20">
        <f t="shared" si="115"/>
        <v>2.6121596853278146E-2</v>
      </c>
    </row>
    <row r="540" spans="1:13" x14ac:dyDescent="0.25">
      <c r="A540" s="37">
        <v>42767</v>
      </c>
      <c r="B540">
        <v>2017.087</v>
      </c>
      <c r="C540" s="40">
        <f t="shared" si="116"/>
        <v>9528</v>
      </c>
      <c r="D540">
        <v>187.69</v>
      </c>
      <c r="E540" s="20">
        <f>((D540-D539)/10)/(2*3.14159)</f>
        <v>4.7746523257333291E-3</v>
      </c>
      <c r="F540" s="18">
        <f>E540+F539</f>
        <v>13.087181650056134</v>
      </c>
      <c r="G540" s="14">
        <f>3.14*(F540^2)</f>
        <v>537.80137592051733</v>
      </c>
      <c r="H540" s="14">
        <f>G540-G539</f>
        <v>0.39234515812415793</v>
      </c>
      <c r="I540" s="19">
        <f>H540/G540</f>
        <v>7.2953543016249808E-4</v>
      </c>
      <c r="J540" s="14">
        <f>H540+J539</f>
        <v>217.48997592051734</v>
      </c>
      <c r="K540" s="14">
        <f>H540</f>
        <v>0.39234515812415793</v>
      </c>
      <c r="L540" s="14">
        <f>I540+L539</f>
        <v>0.51716648494213024</v>
      </c>
      <c r="M540" s="20">
        <f>I540</f>
        <v>7.2953543016249808E-4</v>
      </c>
    </row>
    <row r="541" spans="1:13" x14ac:dyDescent="0.25">
      <c r="A541" s="37">
        <v>42790</v>
      </c>
      <c r="B541">
        <v>2017.15</v>
      </c>
      <c r="C541" s="40">
        <f t="shared" si="116"/>
        <v>9551</v>
      </c>
      <c r="D541">
        <v>188.19</v>
      </c>
      <c r="E541" s="20">
        <f>((D541-D540)/10)/(2*3.14159)</f>
        <v>7.9577538762219142E-3</v>
      </c>
      <c r="F541" s="18">
        <f>E541+F540</f>
        <v>13.095139403932356</v>
      </c>
      <c r="G541" s="14">
        <f>3.14*(F541^2)</f>
        <v>538.45560266644463</v>
      </c>
      <c r="H541" s="14">
        <f>G541-G540</f>
        <v>0.65422674592730345</v>
      </c>
      <c r="I541" s="19">
        <f>H541/G541</f>
        <v>1.2150059219136313E-3</v>
      </c>
      <c r="J541" s="14">
        <f>H541+J540</f>
        <v>218.14420266644464</v>
      </c>
      <c r="K541" s="14">
        <f>H541+K540</f>
        <v>1.0465719040514614</v>
      </c>
      <c r="L541" s="14">
        <f>I541+L540</f>
        <v>0.51838149086404384</v>
      </c>
      <c r="M541" s="20">
        <f>I541+M540</f>
        <v>1.9445413520761293E-3</v>
      </c>
    </row>
    <row r="542" spans="1:13" x14ac:dyDescent="0.25">
      <c r="A542" s="37">
        <v>42808</v>
      </c>
      <c r="B542">
        <v>2017.1990000000001</v>
      </c>
      <c r="C542" s="40">
        <f t="shared" si="116"/>
        <v>9569</v>
      </c>
      <c r="D542">
        <v>186.39</v>
      </c>
      <c r="E542" s="20">
        <f t="shared" ref="E542:E579" si="119">((D542-D541)/10)/(2*3.14159)</f>
        <v>-2.8647913954399067E-2</v>
      </c>
      <c r="F542" s="18">
        <f t="shared" ref="F542:F579" si="120">E542+F541</f>
        <v>13.066491489977956</v>
      </c>
      <c r="G542" s="14">
        <f t="shared" ref="G542:G579" si="121">3.14*(F542^2)</f>
        <v>536.10224755307229</v>
      </c>
      <c r="H542" s="14">
        <f t="shared" ref="H542:H579" si="122">G542-G541</f>
        <v>-2.3533551133723449</v>
      </c>
      <c r="I542" s="19">
        <f t="shared" ref="I542:I579" si="123">H542/G542</f>
        <v>-4.3897505076946558E-3</v>
      </c>
      <c r="J542" s="14">
        <f t="shared" ref="J542:J579" si="124">H542+J541</f>
        <v>215.7908475530723</v>
      </c>
      <c r="K542" s="14">
        <f t="shared" ref="K542:L557" si="125">H542+K541</f>
        <v>-1.3067832093208835</v>
      </c>
      <c r="L542" s="14">
        <f t="shared" si="125"/>
        <v>0.5139917403563492</v>
      </c>
      <c r="M542" s="20">
        <f t="shared" ref="M542:M579" si="126">I542+M541</f>
        <v>-2.4452091556185266E-3</v>
      </c>
    </row>
    <row r="543" spans="1:13" x14ac:dyDescent="0.25">
      <c r="A543" s="37">
        <v>42814</v>
      </c>
      <c r="B543">
        <v>2017.2159999999999</v>
      </c>
      <c r="C543" s="40">
        <f t="shared" si="116"/>
        <v>9575</v>
      </c>
      <c r="D543">
        <v>185.79</v>
      </c>
      <c r="E543" s="20">
        <f t="shared" si="119"/>
        <v>-9.5493046514662054E-3</v>
      </c>
      <c r="F543" s="18">
        <f t="shared" si="120"/>
        <v>13.05694218532649</v>
      </c>
      <c r="G543" s="14">
        <f t="shared" si="121"/>
        <v>535.31894118520972</v>
      </c>
      <c r="H543" s="14">
        <f t="shared" si="122"/>
        <v>-0.78330636786256491</v>
      </c>
      <c r="I543" s="19">
        <f t="shared" si="123"/>
        <v>-1.4632517320016824E-3</v>
      </c>
      <c r="J543" s="14">
        <f t="shared" si="124"/>
        <v>215.00754118520973</v>
      </c>
      <c r="K543" s="14">
        <f t="shared" si="125"/>
        <v>-2.0900895771834485</v>
      </c>
      <c r="L543" s="14">
        <f t="shared" si="125"/>
        <v>0.51252848862434752</v>
      </c>
      <c r="M543" s="20">
        <f t="shared" si="126"/>
        <v>-3.908460887620209E-3</v>
      </c>
    </row>
    <row r="544" spans="1:13" x14ac:dyDescent="0.25">
      <c r="A544" s="37">
        <v>42824</v>
      </c>
      <c r="B544">
        <v>2017.2429999999999</v>
      </c>
      <c r="C544" s="40">
        <f t="shared" si="116"/>
        <v>9585</v>
      </c>
      <c r="D544">
        <v>186.79</v>
      </c>
      <c r="E544" s="20">
        <f t="shared" si="119"/>
        <v>1.5915507752443828E-2</v>
      </c>
      <c r="F544" s="18">
        <f t="shared" si="120"/>
        <v>13.072857693078934</v>
      </c>
      <c r="G544" s="14">
        <f t="shared" si="121"/>
        <v>536.62476994736824</v>
      </c>
      <c r="H544" s="14">
        <f t="shared" si="122"/>
        <v>1.3058287621585123</v>
      </c>
      <c r="I544" s="19">
        <f t="shared" si="123"/>
        <v>2.4334112685230444E-3</v>
      </c>
      <c r="J544" s="14">
        <f t="shared" si="124"/>
        <v>216.31336994736824</v>
      </c>
      <c r="K544" s="14">
        <f t="shared" si="125"/>
        <v>-0.78426081502493616</v>
      </c>
      <c r="L544" s="14">
        <f t="shared" si="125"/>
        <v>0.51496189989287056</v>
      </c>
      <c r="M544" s="20">
        <f t="shared" si="126"/>
        <v>-1.4750496190971646E-3</v>
      </c>
    </row>
    <row r="545" spans="1:13" x14ac:dyDescent="0.25">
      <c r="A545" s="37">
        <v>42830</v>
      </c>
      <c r="B545">
        <v>2017.26</v>
      </c>
      <c r="C545" s="40">
        <f t="shared" si="116"/>
        <v>9591</v>
      </c>
      <c r="D545">
        <v>187.29</v>
      </c>
      <c r="E545" s="20">
        <f t="shared" si="119"/>
        <v>7.9577538762219142E-3</v>
      </c>
      <c r="F545" s="18">
        <f t="shared" si="120"/>
        <v>13.080815446955155</v>
      </c>
      <c r="G545" s="14">
        <f t="shared" si="121"/>
        <v>537.27828085792385</v>
      </c>
      <c r="H545" s="14">
        <f t="shared" si="122"/>
        <v>0.65351091055561028</v>
      </c>
      <c r="I545" s="19">
        <f t="shared" si="123"/>
        <v>1.2163359916803013E-3</v>
      </c>
      <c r="J545" s="14">
        <f t="shared" si="124"/>
        <v>216.96688085792385</v>
      </c>
      <c r="K545" s="14">
        <f t="shared" si="125"/>
        <v>-0.13074990446932588</v>
      </c>
      <c r="L545" s="14">
        <f t="shared" si="125"/>
        <v>0.51617823588455081</v>
      </c>
      <c r="M545" s="20">
        <f t="shared" si="126"/>
        <v>-2.587136274168633E-4</v>
      </c>
    </row>
    <row r="546" spans="1:13" x14ac:dyDescent="0.25">
      <c r="A546" s="37">
        <v>42836</v>
      </c>
      <c r="B546">
        <v>2017.2760000000001</v>
      </c>
      <c r="C546" s="40">
        <f t="shared" si="116"/>
        <v>9597</v>
      </c>
      <c r="D546">
        <v>187.39</v>
      </c>
      <c r="E546" s="20">
        <f t="shared" si="119"/>
        <v>1.5915507752442921E-3</v>
      </c>
      <c r="F546" s="18">
        <f t="shared" si="120"/>
        <v>13.082406997730399</v>
      </c>
      <c r="G546" s="14">
        <f t="shared" si="121"/>
        <v>537.40903076239306</v>
      </c>
      <c r="H546" s="14">
        <f t="shared" si="122"/>
        <v>0.1307499044692122</v>
      </c>
      <c r="I546" s="19">
        <f t="shared" si="123"/>
        <v>2.4329681301358928E-4</v>
      </c>
      <c r="J546" s="14">
        <f t="shared" si="124"/>
        <v>217.09763076239307</v>
      </c>
      <c r="K546" s="14">
        <f t="shared" si="125"/>
        <v>-1.1368683772161603E-13</v>
      </c>
      <c r="L546" s="14">
        <f t="shared" si="125"/>
        <v>0.51642153269756441</v>
      </c>
      <c r="M546" s="20">
        <f t="shared" si="126"/>
        <v>-1.5416814403274015E-5</v>
      </c>
    </row>
    <row r="547" spans="1:13" x14ac:dyDescent="0.25">
      <c r="A547" s="37">
        <v>42842</v>
      </c>
      <c r="B547">
        <v>2017.2919999999999</v>
      </c>
      <c r="C547" s="40">
        <f t="shared" si="116"/>
        <v>9603</v>
      </c>
      <c r="D547">
        <v>187.69</v>
      </c>
      <c r="E547" s="20">
        <f t="shared" si="119"/>
        <v>4.7746523257333291E-3</v>
      </c>
      <c r="F547" s="18">
        <f t="shared" si="120"/>
        <v>13.087181650056133</v>
      </c>
      <c r="G547" s="14">
        <f t="shared" si="121"/>
        <v>537.8013759205171</v>
      </c>
      <c r="H547" s="14">
        <f t="shared" si="122"/>
        <v>0.39234515812404425</v>
      </c>
      <c r="I547" s="19">
        <f t="shared" si="123"/>
        <v>7.2953543016228699E-4</v>
      </c>
      <c r="J547" s="14">
        <f t="shared" si="124"/>
        <v>217.48997592051711</v>
      </c>
      <c r="K547" s="14">
        <f t="shared" si="125"/>
        <v>0.39234515812393056</v>
      </c>
      <c r="L547" s="14">
        <f t="shared" si="125"/>
        <v>0.51715106812772671</v>
      </c>
      <c r="M547" s="20">
        <f t="shared" si="126"/>
        <v>7.1411861575901292E-4</v>
      </c>
    </row>
    <row r="548" spans="1:13" x14ac:dyDescent="0.25">
      <c r="A548" s="37">
        <v>42851</v>
      </c>
      <c r="B548">
        <v>2017.317</v>
      </c>
      <c r="C548" s="40">
        <f t="shared" si="116"/>
        <v>9612</v>
      </c>
      <c r="D548">
        <v>189.19</v>
      </c>
      <c r="E548" s="20">
        <f t="shared" si="119"/>
        <v>2.3873261628665741E-2</v>
      </c>
      <c r="F548" s="18">
        <f t="shared" si="120"/>
        <v>13.111054911684798</v>
      </c>
      <c r="G548" s="14">
        <f t="shared" si="121"/>
        <v>539.76524921725218</v>
      </c>
      <c r="H548" s="14">
        <f t="shared" si="122"/>
        <v>1.9638732967350734</v>
      </c>
      <c r="I548" s="19">
        <f t="shared" si="123"/>
        <v>3.6383840930534349E-3</v>
      </c>
      <c r="J548" s="14">
        <f t="shared" si="124"/>
        <v>219.45384921725218</v>
      </c>
      <c r="K548" s="14">
        <f t="shared" si="125"/>
        <v>2.3562184548590039</v>
      </c>
      <c r="L548" s="14">
        <f t="shared" si="125"/>
        <v>0.5207894522207801</v>
      </c>
      <c r="M548" s="20">
        <f t="shared" si="126"/>
        <v>4.3525027088124474E-3</v>
      </c>
    </row>
    <row r="549" spans="1:13" x14ac:dyDescent="0.25">
      <c r="A549" s="37">
        <v>42857</v>
      </c>
      <c r="B549">
        <v>2017.3330000000001</v>
      </c>
      <c r="C549" s="40">
        <f t="shared" si="116"/>
        <v>9618</v>
      </c>
      <c r="D549">
        <v>190.49</v>
      </c>
      <c r="E549" s="20">
        <f t="shared" si="119"/>
        <v>2.0690160078177158E-2</v>
      </c>
      <c r="F549" s="18">
        <f t="shared" si="120"/>
        <v>13.131745071762975</v>
      </c>
      <c r="G549" s="14">
        <f t="shared" si="121"/>
        <v>541.47016789748159</v>
      </c>
      <c r="H549" s="14">
        <f t="shared" si="122"/>
        <v>1.7049186802294116</v>
      </c>
      <c r="I549" s="19">
        <f t="shared" si="123"/>
        <v>3.1486844175544863E-3</v>
      </c>
      <c r="J549" s="14">
        <f t="shared" si="124"/>
        <v>221.1587678974816</v>
      </c>
      <c r="K549" s="14">
        <f t="shared" si="125"/>
        <v>4.0611371350884156</v>
      </c>
      <c r="L549" s="14">
        <f t="shared" si="125"/>
        <v>0.52393813663833455</v>
      </c>
      <c r="M549" s="20">
        <f t="shared" si="126"/>
        <v>7.5011871263669337E-3</v>
      </c>
    </row>
    <row r="550" spans="1:13" x14ac:dyDescent="0.25">
      <c r="A550" s="37">
        <v>42866</v>
      </c>
      <c r="B550">
        <v>2017.3579999999999</v>
      </c>
      <c r="C550" s="40">
        <f t="shared" si="116"/>
        <v>9627</v>
      </c>
      <c r="D550">
        <v>192.19</v>
      </c>
      <c r="E550" s="20">
        <f t="shared" si="119"/>
        <v>2.7056363179154327E-2</v>
      </c>
      <c r="F550" s="18">
        <f t="shared" si="120"/>
        <v>13.158801434942129</v>
      </c>
      <c r="G550" s="14">
        <f t="shared" si="121"/>
        <v>543.70373334129795</v>
      </c>
      <c r="H550" s="14">
        <f t="shared" si="122"/>
        <v>2.2335654438163601</v>
      </c>
      <c r="I550" s="19">
        <f t="shared" si="123"/>
        <v>4.108056110062222E-3</v>
      </c>
      <c r="J550" s="14">
        <f t="shared" si="124"/>
        <v>223.39233334129796</v>
      </c>
      <c r="K550" s="14">
        <f t="shared" si="125"/>
        <v>6.2947025789047757</v>
      </c>
      <c r="L550" s="14">
        <f t="shared" si="125"/>
        <v>0.52804619274839681</v>
      </c>
      <c r="M550" s="20">
        <f t="shared" si="126"/>
        <v>1.1609243236429156E-2</v>
      </c>
    </row>
    <row r="551" spans="1:13" x14ac:dyDescent="0.25">
      <c r="A551" s="37">
        <v>42871</v>
      </c>
      <c r="B551">
        <v>2017.3720000000001</v>
      </c>
      <c r="C551" s="40">
        <f t="shared" si="116"/>
        <v>9632</v>
      </c>
      <c r="D551">
        <v>193.59</v>
      </c>
      <c r="E551" s="20">
        <f t="shared" si="119"/>
        <v>2.2281710853421448E-2</v>
      </c>
      <c r="F551" s="18">
        <f t="shared" si="120"/>
        <v>13.181083145795551</v>
      </c>
      <c r="G551" s="14">
        <f t="shared" si="121"/>
        <v>545.5465920946192</v>
      </c>
      <c r="H551" s="14">
        <f t="shared" si="122"/>
        <v>1.8428587533212522</v>
      </c>
      <c r="I551" s="19">
        <f t="shared" si="123"/>
        <v>3.3780043355153581E-3</v>
      </c>
      <c r="J551" s="14">
        <f t="shared" si="124"/>
        <v>225.23519209461921</v>
      </c>
      <c r="K551" s="14">
        <f t="shared" si="125"/>
        <v>8.1375613322260278</v>
      </c>
      <c r="L551" s="14">
        <f t="shared" si="125"/>
        <v>0.5314241970839122</v>
      </c>
      <c r="M551" s="20">
        <f t="shared" si="126"/>
        <v>1.4987247571944515E-2</v>
      </c>
    </row>
    <row r="552" spans="1:13" x14ac:dyDescent="0.25">
      <c r="A552" s="37">
        <v>42879</v>
      </c>
      <c r="B552">
        <v>2017.393</v>
      </c>
      <c r="C552" s="40">
        <f t="shared" si="116"/>
        <v>9640</v>
      </c>
      <c r="D552">
        <v>193.79</v>
      </c>
      <c r="E552" s="20">
        <f t="shared" si="119"/>
        <v>3.1831015504885842E-3</v>
      </c>
      <c r="F552" s="18">
        <f t="shared" si="120"/>
        <v>13.18426624734604</v>
      </c>
      <c r="G552" s="14">
        <f t="shared" si="121"/>
        <v>545.81011215005117</v>
      </c>
      <c r="H552" s="14">
        <f t="shared" si="122"/>
        <v>0.2635200554319681</v>
      </c>
      <c r="I552" s="19">
        <f t="shared" si="123"/>
        <v>4.8280537418757567E-4</v>
      </c>
      <c r="J552" s="14">
        <f t="shared" si="124"/>
        <v>225.49871215005118</v>
      </c>
      <c r="K552" s="14">
        <f t="shared" si="125"/>
        <v>8.4010813876579959</v>
      </c>
      <c r="L552" s="14">
        <f t="shared" si="125"/>
        <v>0.53190700245809974</v>
      </c>
      <c r="M552" s="20">
        <f t="shared" si="126"/>
        <v>1.5470052946132091E-2</v>
      </c>
    </row>
    <row r="553" spans="1:13" x14ac:dyDescent="0.25">
      <c r="A553" s="37">
        <v>42885</v>
      </c>
      <c r="B553">
        <v>2017.41</v>
      </c>
      <c r="C553" s="40">
        <f t="shared" si="116"/>
        <v>9646</v>
      </c>
      <c r="D553">
        <v>193.79</v>
      </c>
      <c r="E553" s="20">
        <f t="shared" si="119"/>
        <v>0</v>
      </c>
      <c r="F553" s="18">
        <f t="shared" si="120"/>
        <v>13.18426624734604</v>
      </c>
      <c r="G553" s="14">
        <f t="shared" si="121"/>
        <v>545.81011215005117</v>
      </c>
      <c r="H553" s="14">
        <f t="shared" si="122"/>
        <v>0</v>
      </c>
      <c r="I553" s="19">
        <f t="shared" si="123"/>
        <v>0</v>
      </c>
      <c r="J553" s="14">
        <f t="shared" si="124"/>
        <v>225.49871215005118</v>
      </c>
      <c r="K553" s="14">
        <f t="shared" si="125"/>
        <v>8.4010813876579959</v>
      </c>
      <c r="L553" s="14">
        <f t="shared" si="125"/>
        <v>0.53190700245809974</v>
      </c>
      <c r="M553" s="20">
        <f t="shared" si="126"/>
        <v>1.5470052946132091E-2</v>
      </c>
    </row>
    <row r="554" spans="1:13" x14ac:dyDescent="0.25">
      <c r="A554" s="37">
        <v>42891</v>
      </c>
      <c r="B554">
        <v>2017.4259999999999</v>
      </c>
      <c r="C554" s="40">
        <f t="shared" si="116"/>
        <v>9652</v>
      </c>
      <c r="D554">
        <v>194.09</v>
      </c>
      <c r="E554" s="20">
        <f t="shared" si="119"/>
        <v>4.7746523257333291E-3</v>
      </c>
      <c r="F554" s="18">
        <f t="shared" si="120"/>
        <v>13.189040899671774</v>
      </c>
      <c r="G554" s="14">
        <f t="shared" si="121"/>
        <v>546.20551153909469</v>
      </c>
      <c r="H554" s="14">
        <f t="shared" si="122"/>
        <v>0.39539938904351857</v>
      </c>
      <c r="I554" s="19">
        <f t="shared" si="123"/>
        <v>7.2390223220077825E-4</v>
      </c>
      <c r="J554" s="14">
        <f t="shared" si="124"/>
        <v>225.89411153909469</v>
      </c>
      <c r="K554" s="14">
        <f t="shared" si="125"/>
        <v>8.7964807767015145</v>
      </c>
      <c r="L554" s="14">
        <f t="shared" si="125"/>
        <v>0.5326309046903005</v>
      </c>
      <c r="M554" s="20">
        <f t="shared" si="126"/>
        <v>1.6193955178332869E-2</v>
      </c>
    </row>
    <row r="555" spans="1:13" x14ac:dyDescent="0.25">
      <c r="A555" s="37">
        <v>42899</v>
      </c>
      <c r="B555">
        <v>2017.4480000000001</v>
      </c>
      <c r="C555" s="40">
        <f t="shared" si="116"/>
        <v>9660</v>
      </c>
      <c r="D555">
        <v>194.19</v>
      </c>
      <c r="E555" s="20">
        <f t="shared" si="119"/>
        <v>1.5915507752442921E-3</v>
      </c>
      <c r="F555" s="18">
        <f t="shared" si="120"/>
        <v>13.190632450447017</v>
      </c>
      <c r="G555" s="14">
        <f t="shared" si="121"/>
        <v>546.33734315034769</v>
      </c>
      <c r="H555" s="14">
        <f t="shared" si="122"/>
        <v>0.13183161125300558</v>
      </c>
      <c r="I555" s="19">
        <f t="shared" si="123"/>
        <v>2.4130075109423112E-4</v>
      </c>
      <c r="J555" s="14">
        <f t="shared" si="124"/>
        <v>226.0259431503477</v>
      </c>
      <c r="K555" s="14">
        <f t="shared" si="125"/>
        <v>8.9283123879545201</v>
      </c>
      <c r="L555" s="14">
        <f t="shared" si="125"/>
        <v>0.53287220544139469</v>
      </c>
      <c r="M555" s="20">
        <f t="shared" si="126"/>
        <v>1.6435255929427101E-2</v>
      </c>
    </row>
    <row r="556" spans="1:13" x14ac:dyDescent="0.25">
      <c r="A556" s="37">
        <v>42906</v>
      </c>
      <c r="B556">
        <v>2017.4670000000001</v>
      </c>
      <c r="C556" s="40">
        <f t="shared" si="116"/>
        <v>9667</v>
      </c>
      <c r="D556">
        <v>193.79</v>
      </c>
      <c r="E556" s="20">
        <f t="shared" si="119"/>
        <v>-6.3662031009776212E-3</v>
      </c>
      <c r="F556" s="18">
        <f t="shared" si="120"/>
        <v>13.18426624734604</v>
      </c>
      <c r="G556" s="14">
        <f t="shared" si="121"/>
        <v>545.81011215005117</v>
      </c>
      <c r="H556" s="14">
        <f t="shared" si="122"/>
        <v>-0.52723100029652414</v>
      </c>
      <c r="I556" s="19">
        <f t="shared" si="123"/>
        <v>-9.6596048435170921E-4</v>
      </c>
      <c r="J556" s="14">
        <f t="shared" si="124"/>
        <v>225.49871215005118</v>
      </c>
      <c r="K556" s="14">
        <f t="shared" si="125"/>
        <v>8.4010813876579959</v>
      </c>
      <c r="L556" s="14">
        <f t="shared" si="125"/>
        <v>0.53190624495704297</v>
      </c>
      <c r="M556" s="20">
        <f t="shared" si="126"/>
        <v>1.5469295445075391E-2</v>
      </c>
    </row>
    <row r="557" spans="1:13" x14ac:dyDescent="0.25">
      <c r="A557" s="37">
        <v>42914</v>
      </c>
      <c r="B557">
        <v>2017.489</v>
      </c>
      <c r="C557" s="40">
        <f t="shared" si="116"/>
        <v>9675</v>
      </c>
      <c r="D557">
        <v>194.34</v>
      </c>
      <c r="E557" s="20">
        <f t="shared" si="119"/>
        <v>8.7535292638442862E-3</v>
      </c>
      <c r="F557" s="18">
        <f t="shared" si="120"/>
        <v>13.193019776609884</v>
      </c>
      <c r="G557" s="14">
        <f t="shared" si="121"/>
        <v>546.53512039370128</v>
      </c>
      <c r="H557" s="14">
        <f t="shared" si="122"/>
        <v>0.72500824365010885</v>
      </c>
      <c r="I557" s="19">
        <f t="shared" si="123"/>
        <v>1.3265538052300151E-3</v>
      </c>
      <c r="J557" s="14">
        <f t="shared" si="124"/>
        <v>226.22372039370129</v>
      </c>
      <c r="K557" s="14">
        <f t="shared" si="125"/>
        <v>9.1260896313081048</v>
      </c>
      <c r="L557" s="14">
        <f t="shared" si="125"/>
        <v>0.53323279876227303</v>
      </c>
      <c r="M557" s="20">
        <f t="shared" si="126"/>
        <v>1.6795849250305406E-2</v>
      </c>
    </row>
    <row r="558" spans="1:13" x14ac:dyDescent="0.25">
      <c r="A558" s="37">
        <v>42921</v>
      </c>
      <c r="B558">
        <v>2017.508</v>
      </c>
      <c r="C558" s="40">
        <f t="shared" si="116"/>
        <v>9682</v>
      </c>
      <c r="D558">
        <v>194.89</v>
      </c>
      <c r="E558" s="20">
        <f t="shared" si="119"/>
        <v>8.7535292638438334E-3</v>
      </c>
      <c r="F558" s="18">
        <f t="shared" si="120"/>
        <v>13.201773305873727</v>
      </c>
      <c r="G558" s="14">
        <f t="shared" si="121"/>
        <v>547.26060983779564</v>
      </c>
      <c r="H558" s="14">
        <f t="shared" si="122"/>
        <v>0.72548944409436444</v>
      </c>
      <c r="I558" s="19">
        <f t="shared" si="123"/>
        <v>1.3256745160397979E-3</v>
      </c>
      <c r="J558" s="14">
        <f t="shared" si="124"/>
        <v>226.94920983779565</v>
      </c>
      <c r="K558" s="14">
        <f t="shared" ref="K558:L573" si="127">H558+K557</f>
        <v>9.8515790754024692</v>
      </c>
      <c r="L558" s="14">
        <f t="shared" si="127"/>
        <v>0.53455847327831285</v>
      </c>
      <c r="M558" s="20">
        <f t="shared" si="126"/>
        <v>1.8121523766345203E-2</v>
      </c>
    </row>
    <row r="559" spans="1:13" x14ac:dyDescent="0.25">
      <c r="A559" s="37">
        <v>42928</v>
      </c>
      <c r="B559">
        <v>2017.527</v>
      </c>
      <c r="C559" s="40">
        <f t="shared" si="116"/>
        <v>9689</v>
      </c>
      <c r="D559">
        <v>194.99</v>
      </c>
      <c r="E559" s="20">
        <f t="shared" si="119"/>
        <v>1.5915507752447447E-3</v>
      </c>
      <c r="F559" s="18">
        <f t="shared" si="120"/>
        <v>13.203364856648973</v>
      </c>
      <c r="G559" s="14">
        <f t="shared" si="121"/>
        <v>547.39256870867052</v>
      </c>
      <c r="H559" s="14">
        <f t="shared" si="122"/>
        <v>0.13195887087488245</v>
      </c>
      <c r="I559" s="19">
        <f t="shared" si="123"/>
        <v>2.4106807146867331E-4</v>
      </c>
      <c r="J559" s="14">
        <f t="shared" si="124"/>
        <v>227.08116870867053</v>
      </c>
      <c r="K559" s="14">
        <f t="shared" si="127"/>
        <v>9.9835379462773517</v>
      </c>
      <c r="L559" s="14">
        <f t="shared" si="127"/>
        <v>0.53479954134978147</v>
      </c>
      <c r="M559" s="20">
        <f t="shared" si="126"/>
        <v>1.8362591837813875E-2</v>
      </c>
    </row>
    <row r="560" spans="1:13" x14ac:dyDescent="0.25">
      <c r="A560" s="37">
        <v>42934</v>
      </c>
      <c r="B560">
        <v>2017.5440000000001</v>
      </c>
      <c r="C560" s="40">
        <f t="shared" si="116"/>
        <v>9695</v>
      </c>
      <c r="D560">
        <v>194.89</v>
      </c>
      <c r="E560" s="20">
        <f t="shared" si="119"/>
        <v>-1.5915507752447447E-3</v>
      </c>
      <c r="F560" s="18">
        <f t="shared" si="120"/>
        <v>13.201773305873727</v>
      </c>
      <c r="G560" s="14">
        <f t="shared" si="121"/>
        <v>547.26060983779564</v>
      </c>
      <c r="H560" s="14">
        <f t="shared" si="122"/>
        <v>-0.13195887087488245</v>
      </c>
      <c r="I560" s="19">
        <f t="shared" si="123"/>
        <v>-2.4112619929651829E-4</v>
      </c>
      <c r="J560" s="14">
        <f t="shared" si="124"/>
        <v>226.94920983779565</v>
      </c>
      <c r="K560" s="14">
        <f t="shared" si="127"/>
        <v>9.8515790754024692</v>
      </c>
      <c r="L560" s="14">
        <f t="shared" si="127"/>
        <v>0.53455841515048497</v>
      </c>
      <c r="M560" s="20">
        <f t="shared" si="126"/>
        <v>1.8121465638517357E-2</v>
      </c>
    </row>
    <row r="561" spans="1:13" x14ac:dyDescent="0.25">
      <c r="A561" s="37">
        <v>42941</v>
      </c>
      <c r="B561">
        <v>2017.5630000000001</v>
      </c>
      <c r="C561" s="40">
        <f t="shared" si="116"/>
        <v>9702</v>
      </c>
      <c r="D561">
        <v>195.29</v>
      </c>
      <c r="E561" s="20">
        <f t="shared" si="119"/>
        <v>6.3662031009776212E-3</v>
      </c>
      <c r="F561" s="18">
        <f t="shared" si="120"/>
        <v>13.208139508974705</v>
      </c>
      <c r="G561" s="14">
        <f t="shared" si="121"/>
        <v>547.78854076601112</v>
      </c>
      <c r="H561" s="14">
        <f t="shared" si="122"/>
        <v>0.52793092821548271</v>
      </c>
      <c r="I561" s="19">
        <f t="shared" si="123"/>
        <v>9.637494926002648E-4</v>
      </c>
      <c r="J561" s="14">
        <f t="shared" si="124"/>
        <v>227.47714076601113</v>
      </c>
      <c r="K561" s="14">
        <f t="shared" si="127"/>
        <v>10.379510003617952</v>
      </c>
      <c r="L561" s="14">
        <f t="shared" si="127"/>
        <v>0.53552216464308522</v>
      </c>
      <c r="M561" s="20">
        <f t="shared" si="126"/>
        <v>1.9085215131117623E-2</v>
      </c>
    </row>
    <row r="562" spans="1:13" x14ac:dyDescent="0.25">
      <c r="A562" s="37">
        <v>42948</v>
      </c>
      <c r="B562">
        <v>2017.5820000000001</v>
      </c>
      <c r="C562" s="40">
        <f t="shared" si="116"/>
        <v>9709</v>
      </c>
      <c r="D562">
        <v>196.29</v>
      </c>
      <c r="E562" s="20">
        <f t="shared" si="119"/>
        <v>1.5915507752443828E-2</v>
      </c>
      <c r="F562" s="18">
        <f t="shared" si="120"/>
        <v>13.224055016727149</v>
      </c>
      <c r="G562" s="14">
        <f t="shared" si="121"/>
        <v>549.10948160823921</v>
      </c>
      <c r="H562" s="14">
        <f t="shared" si="122"/>
        <v>1.3209408422280831</v>
      </c>
      <c r="I562" s="19">
        <f t="shared" si="123"/>
        <v>2.4056055968279654E-3</v>
      </c>
      <c r="J562" s="14">
        <f t="shared" si="124"/>
        <v>228.79808160823922</v>
      </c>
      <c r="K562" s="14">
        <f t="shared" si="127"/>
        <v>11.700450845846035</v>
      </c>
      <c r="L562" s="14">
        <f t="shared" si="127"/>
        <v>0.53792777023991323</v>
      </c>
      <c r="M562" s="20">
        <f t="shared" si="126"/>
        <v>2.1490820727945587E-2</v>
      </c>
    </row>
    <row r="563" spans="1:13" x14ac:dyDescent="0.25">
      <c r="A563" s="37">
        <v>42955</v>
      </c>
      <c r="B563">
        <v>2017.6010000000001</v>
      </c>
      <c r="C563" s="40">
        <f t="shared" si="116"/>
        <v>9716</v>
      </c>
      <c r="D563">
        <v>196.44</v>
      </c>
      <c r="E563" s="20">
        <f t="shared" si="119"/>
        <v>2.3873261628666645E-3</v>
      </c>
      <c r="F563" s="18">
        <f t="shared" si="120"/>
        <v>13.226442342890016</v>
      </c>
      <c r="G563" s="14">
        <f t="shared" si="121"/>
        <v>549.30775993635291</v>
      </c>
      <c r="H563" s="14">
        <f t="shared" si="122"/>
        <v>0.19827832811370172</v>
      </c>
      <c r="I563" s="19">
        <f t="shared" si="123"/>
        <v>3.6096036243266582E-4</v>
      </c>
      <c r="J563" s="14">
        <f t="shared" si="124"/>
        <v>228.99635993635292</v>
      </c>
      <c r="K563" s="14">
        <f t="shared" si="127"/>
        <v>11.898729173959737</v>
      </c>
      <c r="L563" s="14">
        <f t="shared" si="127"/>
        <v>0.53828873060234594</v>
      </c>
      <c r="M563" s="20">
        <f t="shared" si="126"/>
        <v>2.1851781090378251E-2</v>
      </c>
    </row>
    <row r="564" spans="1:13" x14ac:dyDescent="0.25">
      <c r="A564" s="37">
        <v>42962</v>
      </c>
      <c r="B564">
        <v>2017.62</v>
      </c>
      <c r="C564" s="40">
        <f t="shared" si="116"/>
        <v>9723</v>
      </c>
      <c r="D564">
        <v>196.94</v>
      </c>
      <c r="E564" s="20">
        <f t="shared" si="119"/>
        <v>7.9577538762219142E-3</v>
      </c>
      <c r="F564" s="18">
        <f t="shared" si="120"/>
        <v>13.234400096766237</v>
      </c>
      <c r="G564" s="14">
        <f t="shared" si="121"/>
        <v>549.96894619283864</v>
      </c>
      <c r="H564" s="14">
        <f t="shared" si="122"/>
        <v>0.6611862564857347</v>
      </c>
      <c r="I564" s="19">
        <f t="shared" si="123"/>
        <v>1.2022247093454971E-3</v>
      </c>
      <c r="J564" s="14">
        <f t="shared" si="124"/>
        <v>229.65754619283865</v>
      </c>
      <c r="K564" s="14">
        <f t="shared" si="127"/>
        <v>12.559915430445471</v>
      </c>
      <c r="L564" s="14">
        <f t="shared" si="127"/>
        <v>0.53949095531169144</v>
      </c>
      <c r="M564" s="20">
        <f t="shared" si="126"/>
        <v>2.3054005799723748E-2</v>
      </c>
    </row>
    <row r="565" spans="1:13" x14ac:dyDescent="0.25">
      <c r="A565" s="37">
        <v>42969</v>
      </c>
      <c r="B565">
        <v>2017.6389999999999</v>
      </c>
      <c r="C565" s="40">
        <f t="shared" si="116"/>
        <v>9730</v>
      </c>
      <c r="D565">
        <v>196.99</v>
      </c>
      <c r="E565" s="20">
        <f t="shared" si="119"/>
        <v>7.9577538762237233E-4</v>
      </c>
      <c r="F565" s="18">
        <f t="shared" si="120"/>
        <v>13.235195872153859</v>
      </c>
      <c r="G565" s="14">
        <f t="shared" si="121"/>
        <v>550.03508669123471</v>
      </c>
      <c r="H565" s="14">
        <f t="shared" si="122"/>
        <v>6.6140498396066505E-2</v>
      </c>
      <c r="I565" s="19">
        <f t="shared" si="123"/>
        <v>1.2024778054421616E-4</v>
      </c>
      <c r="J565" s="14">
        <f t="shared" si="124"/>
        <v>229.72368669123472</v>
      </c>
      <c r="K565" s="14">
        <f t="shared" si="127"/>
        <v>12.626055928841538</v>
      </c>
      <c r="L565" s="14">
        <f t="shared" si="127"/>
        <v>0.53961120309223565</v>
      </c>
      <c r="M565" s="20">
        <f t="shared" si="126"/>
        <v>2.3174253580267964E-2</v>
      </c>
    </row>
    <row r="566" spans="1:13" x14ac:dyDescent="0.25">
      <c r="A566" s="37">
        <v>42976</v>
      </c>
      <c r="B566">
        <v>2017.6579999999999</v>
      </c>
      <c r="C566" s="40">
        <f t="shared" si="116"/>
        <v>9737</v>
      </c>
      <c r="D566">
        <v>196.69</v>
      </c>
      <c r="E566" s="20">
        <f t="shared" si="119"/>
        <v>-4.7746523257333291E-3</v>
      </c>
      <c r="F566" s="18">
        <f t="shared" si="120"/>
        <v>13.230421219828125</v>
      </c>
      <c r="G566" s="14">
        <f t="shared" si="121"/>
        <v>549.63830335380601</v>
      </c>
      <c r="H566" s="14">
        <f t="shared" si="122"/>
        <v>-0.39678333742870109</v>
      </c>
      <c r="I566" s="19">
        <f t="shared" si="123"/>
        <v>-7.2189899249668716E-4</v>
      </c>
      <c r="J566" s="14">
        <f t="shared" si="124"/>
        <v>229.32690335380602</v>
      </c>
      <c r="K566" s="14">
        <f t="shared" si="127"/>
        <v>12.229272591412837</v>
      </c>
      <c r="L566" s="14">
        <f t="shared" si="127"/>
        <v>0.53888930409973901</v>
      </c>
      <c r="M566" s="20">
        <f t="shared" si="126"/>
        <v>2.2452354587771277E-2</v>
      </c>
    </row>
    <row r="567" spans="1:13" x14ac:dyDescent="0.25">
      <c r="A567" s="37">
        <v>42983</v>
      </c>
      <c r="B567">
        <v>2017.6780000000001</v>
      </c>
      <c r="C567" s="40">
        <f t="shared" si="116"/>
        <v>9744</v>
      </c>
      <c r="D567">
        <v>197.09</v>
      </c>
      <c r="E567" s="20">
        <f t="shared" si="119"/>
        <v>6.3662031009776212E-3</v>
      </c>
      <c r="F567" s="18">
        <f t="shared" si="120"/>
        <v>13.236787422929103</v>
      </c>
      <c r="G567" s="14">
        <f t="shared" si="121"/>
        <v>550.16737961861622</v>
      </c>
      <c r="H567" s="14">
        <f t="shared" si="122"/>
        <v>0.52907626481021452</v>
      </c>
      <c r="I567" s="19">
        <f t="shared" si="123"/>
        <v>9.616641851375806E-4</v>
      </c>
      <c r="J567" s="14">
        <f t="shared" si="124"/>
        <v>229.85597961861623</v>
      </c>
      <c r="K567" s="14">
        <f t="shared" si="127"/>
        <v>12.758348856223051</v>
      </c>
      <c r="L567" s="14">
        <f t="shared" si="127"/>
        <v>0.53985096828487655</v>
      </c>
      <c r="M567" s="20">
        <f t="shared" si="126"/>
        <v>2.3414018772908857E-2</v>
      </c>
    </row>
    <row r="568" spans="1:13" x14ac:dyDescent="0.25">
      <c r="A568" s="37">
        <v>42989</v>
      </c>
      <c r="B568">
        <v>2017.694</v>
      </c>
      <c r="C568" s="40">
        <f t="shared" si="116"/>
        <v>9750</v>
      </c>
      <c r="D568">
        <v>197.09</v>
      </c>
      <c r="E568" s="20">
        <f t="shared" si="119"/>
        <v>0</v>
      </c>
      <c r="F568" s="18">
        <f t="shared" si="120"/>
        <v>13.236787422929103</v>
      </c>
      <c r="G568" s="14">
        <f t="shared" si="121"/>
        <v>550.16737961861622</v>
      </c>
      <c r="H568" s="14">
        <f t="shared" si="122"/>
        <v>0</v>
      </c>
      <c r="I568" s="19">
        <f t="shared" si="123"/>
        <v>0</v>
      </c>
      <c r="J568" s="14">
        <f t="shared" si="124"/>
        <v>229.85597961861623</v>
      </c>
      <c r="K568" s="14">
        <f t="shared" si="127"/>
        <v>12.758348856223051</v>
      </c>
      <c r="L568" s="14">
        <f t="shared" si="127"/>
        <v>0.53985096828487655</v>
      </c>
      <c r="M568" s="20">
        <f t="shared" si="126"/>
        <v>2.3414018772908857E-2</v>
      </c>
    </row>
    <row r="569" spans="1:13" x14ac:dyDescent="0.25">
      <c r="A569" s="37">
        <v>42997</v>
      </c>
      <c r="B569">
        <v>2017.7159999999999</v>
      </c>
      <c r="C569" s="40">
        <f t="shared" si="116"/>
        <v>9758</v>
      </c>
      <c r="D569">
        <v>196.79</v>
      </c>
      <c r="E569" s="20">
        <f t="shared" si="119"/>
        <v>-4.7746523257333291E-3</v>
      </c>
      <c r="F569" s="18">
        <f t="shared" si="120"/>
        <v>13.232012770603369</v>
      </c>
      <c r="G569" s="14">
        <f t="shared" si="121"/>
        <v>549.77054855882943</v>
      </c>
      <c r="H569" s="14">
        <f t="shared" si="122"/>
        <v>-0.39683105978679123</v>
      </c>
      <c r="I569" s="19">
        <f t="shared" si="123"/>
        <v>-7.2181214658923734E-4</v>
      </c>
      <c r="J569" s="14">
        <f t="shared" si="124"/>
        <v>229.45914855882944</v>
      </c>
      <c r="K569" s="14">
        <f t="shared" si="127"/>
        <v>12.36151779643626</v>
      </c>
      <c r="L569" s="14">
        <f t="shared" si="127"/>
        <v>0.53912915613828727</v>
      </c>
      <c r="M569" s="20">
        <f t="shared" si="126"/>
        <v>2.2692206626319621E-2</v>
      </c>
    </row>
    <row r="570" spans="1:13" x14ac:dyDescent="0.25">
      <c r="A570" s="37">
        <v>43004</v>
      </c>
      <c r="B570">
        <v>2017.7349999999999</v>
      </c>
      <c r="C570" s="40">
        <f t="shared" si="116"/>
        <v>9765</v>
      </c>
      <c r="D570">
        <v>196.79</v>
      </c>
      <c r="E570" s="20">
        <f t="shared" si="119"/>
        <v>0</v>
      </c>
      <c r="F570" s="18">
        <f t="shared" si="120"/>
        <v>13.232012770603369</v>
      </c>
      <c r="G570" s="14">
        <f t="shared" si="121"/>
        <v>549.77054855882943</v>
      </c>
      <c r="H570" s="14">
        <f t="shared" si="122"/>
        <v>0</v>
      </c>
      <c r="I570" s="19">
        <f t="shared" si="123"/>
        <v>0</v>
      </c>
      <c r="J570" s="14">
        <f t="shared" si="124"/>
        <v>229.45914855882944</v>
      </c>
      <c r="K570" s="14">
        <f t="shared" si="127"/>
        <v>12.36151779643626</v>
      </c>
      <c r="L570" s="14">
        <f t="shared" si="127"/>
        <v>0.53912915613828727</v>
      </c>
      <c r="M570" s="20">
        <f t="shared" si="126"/>
        <v>2.2692206626319621E-2</v>
      </c>
    </row>
    <row r="571" spans="1:13" x14ac:dyDescent="0.25">
      <c r="A571" s="37">
        <v>43011</v>
      </c>
      <c r="B571">
        <v>2017.7539999999999</v>
      </c>
      <c r="C571" s="40">
        <f t="shared" si="116"/>
        <v>9772</v>
      </c>
      <c r="D571">
        <v>198.14</v>
      </c>
      <c r="E571" s="20">
        <f t="shared" si="119"/>
        <v>2.1485935465799074E-2</v>
      </c>
      <c r="F571" s="18">
        <f t="shared" si="120"/>
        <v>13.253498706069168</v>
      </c>
      <c r="G571" s="14">
        <f t="shared" si="121"/>
        <v>551.55741576858009</v>
      </c>
      <c r="H571" s="14">
        <f t="shared" si="122"/>
        <v>1.7868672097506533</v>
      </c>
      <c r="I571" s="19">
        <f t="shared" si="123"/>
        <v>3.239675795602717E-3</v>
      </c>
      <c r="J571" s="14">
        <f t="shared" si="124"/>
        <v>231.24601576858009</v>
      </c>
      <c r="K571" s="14">
        <f t="shared" si="127"/>
        <v>14.148385006186913</v>
      </c>
      <c r="L571" s="14">
        <f t="shared" si="127"/>
        <v>0.54236883193388996</v>
      </c>
      <c r="M571" s="20">
        <f t="shared" si="126"/>
        <v>2.5931882421922337E-2</v>
      </c>
    </row>
    <row r="572" spans="1:13" x14ac:dyDescent="0.25">
      <c r="A572" s="37">
        <v>43018</v>
      </c>
      <c r="B572">
        <v>2017.7729999999999</v>
      </c>
      <c r="C572" s="40">
        <f t="shared" si="116"/>
        <v>9779</v>
      </c>
      <c r="D572">
        <v>200.59</v>
      </c>
      <c r="E572" s="20">
        <f t="shared" si="119"/>
        <v>3.899299399348765E-2</v>
      </c>
      <c r="F572" s="18">
        <f t="shared" si="120"/>
        <v>13.292491700062655</v>
      </c>
      <c r="G572" s="14">
        <f t="shared" si="121"/>
        <v>554.80765377217654</v>
      </c>
      <c r="H572" s="14">
        <f t="shared" si="122"/>
        <v>3.2502380035964507</v>
      </c>
      <c r="I572" s="19">
        <f t="shared" si="123"/>
        <v>5.8583150061068054E-3</v>
      </c>
      <c r="J572" s="14">
        <f t="shared" si="124"/>
        <v>234.49625377217654</v>
      </c>
      <c r="K572" s="14">
        <f t="shared" si="127"/>
        <v>17.398623009783364</v>
      </c>
      <c r="L572" s="14">
        <f t="shared" si="127"/>
        <v>0.54822714693999675</v>
      </c>
      <c r="M572" s="20">
        <f t="shared" si="126"/>
        <v>3.1790197428029146E-2</v>
      </c>
    </row>
    <row r="573" spans="1:13" x14ac:dyDescent="0.25">
      <c r="A573" s="37">
        <v>43027</v>
      </c>
      <c r="B573">
        <v>2017.798</v>
      </c>
      <c r="C573" s="40">
        <f t="shared" si="116"/>
        <v>9788</v>
      </c>
      <c r="D573">
        <v>200.49</v>
      </c>
      <c r="E573" s="20">
        <f t="shared" si="119"/>
        <v>-1.5915507752442921E-3</v>
      </c>
      <c r="F573" s="18">
        <f t="shared" si="120"/>
        <v>13.290900149287411</v>
      </c>
      <c r="G573" s="14">
        <f t="shared" si="121"/>
        <v>554.67480408395033</v>
      </c>
      <c r="H573" s="14">
        <f t="shared" si="122"/>
        <v>-0.13284968822620158</v>
      </c>
      <c r="I573" s="19">
        <f t="shared" si="123"/>
        <v>-2.3950914526504202E-4</v>
      </c>
      <c r="J573" s="14">
        <f t="shared" si="124"/>
        <v>234.36340408395034</v>
      </c>
      <c r="K573" s="14">
        <f t="shared" si="127"/>
        <v>17.265773321557162</v>
      </c>
      <c r="L573" s="14">
        <f t="shared" si="127"/>
        <v>0.5479876377947317</v>
      </c>
      <c r="M573" s="20">
        <f t="shared" si="126"/>
        <v>3.1550688282764104E-2</v>
      </c>
    </row>
    <row r="574" spans="1:13" x14ac:dyDescent="0.25">
      <c r="A574" s="37">
        <v>43033</v>
      </c>
      <c r="B574">
        <v>2017.8140000000001</v>
      </c>
      <c r="C574" s="40">
        <f t="shared" si="116"/>
        <v>9794</v>
      </c>
      <c r="D574">
        <v>200.49</v>
      </c>
      <c r="E574" s="20">
        <f t="shared" si="119"/>
        <v>0</v>
      </c>
      <c r="F574" s="18">
        <f t="shared" si="120"/>
        <v>13.290900149287411</v>
      </c>
      <c r="G574" s="14">
        <f t="shared" si="121"/>
        <v>554.67480408395033</v>
      </c>
      <c r="H574" s="14">
        <f t="shared" si="122"/>
        <v>0</v>
      </c>
      <c r="I574" s="19">
        <f t="shared" si="123"/>
        <v>0</v>
      </c>
      <c r="J574" s="14">
        <f t="shared" si="124"/>
        <v>234.36340408395034</v>
      </c>
      <c r="K574" s="14">
        <f t="shared" ref="K574:L579" si="128">H574+K573</f>
        <v>17.265773321557162</v>
      </c>
      <c r="L574" s="14">
        <f t="shared" si="128"/>
        <v>0.5479876377947317</v>
      </c>
      <c r="M574" s="20">
        <f t="shared" si="126"/>
        <v>3.1550688282764104E-2</v>
      </c>
    </row>
    <row r="575" spans="1:13" x14ac:dyDescent="0.25">
      <c r="A575" s="37">
        <v>43040</v>
      </c>
      <c r="B575">
        <v>2017.8330000000001</v>
      </c>
      <c r="C575" s="40">
        <f t="shared" si="116"/>
        <v>9801</v>
      </c>
      <c r="D575">
        <v>199.19</v>
      </c>
      <c r="E575" s="20">
        <f t="shared" si="119"/>
        <v>-2.0690160078177158E-2</v>
      </c>
      <c r="F575" s="18">
        <f t="shared" si="120"/>
        <v>13.270209989209235</v>
      </c>
      <c r="G575" s="14">
        <f t="shared" si="121"/>
        <v>552.94920571520493</v>
      </c>
      <c r="H575" s="14">
        <f t="shared" si="122"/>
        <v>-1.7255983687454091</v>
      </c>
      <c r="I575" s="19">
        <f t="shared" si="123"/>
        <v>-3.120717691444111E-3</v>
      </c>
      <c r="J575" s="14">
        <f t="shared" si="124"/>
        <v>232.63780571520493</v>
      </c>
      <c r="K575" s="14">
        <f t="shared" si="128"/>
        <v>15.540174952811753</v>
      </c>
      <c r="L575" s="14">
        <f t="shared" si="128"/>
        <v>0.54486692010328763</v>
      </c>
      <c r="M575" s="20">
        <f t="shared" si="126"/>
        <v>2.8429970591319992E-2</v>
      </c>
    </row>
    <row r="576" spans="1:13" x14ac:dyDescent="0.25">
      <c r="A576" s="37">
        <v>43047</v>
      </c>
      <c r="B576">
        <v>2017.8520000000001</v>
      </c>
      <c r="C576" s="40">
        <f t="shared" si="116"/>
        <v>9808</v>
      </c>
      <c r="D576">
        <v>199.19</v>
      </c>
      <c r="E576" s="20">
        <f t="shared" si="119"/>
        <v>0</v>
      </c>
      <c r="F576" s="18">
        <f t="shared" si="120"/>
        <v>13.270209989209235</v>
      </c>
      <c r="G576" s="14">
        <f t="shared" si="121"/>
        <v>552.94920571520493</v>
      </c>
      <c r="H576" s="14">
        <f t="shared" si="122"/>
        <v>0</v>
      </c>
      <c r="I576" s="19">
        <f t="shared" si="123"/>
        <v>0</v>
      </c>
      <c r="J576" s="14">
        <f t="shared" si="124"/>
        <v>232.63780571520493</v>
      </c>
      <c r="K576" s="14">
        <f t="shared" si="128"/>
        <v>15.540174952811753</v>
      </c>
      <c r="L576" s="14">
        <f t="shared" si="128"/>
        <v>0.54486692010328763</v>
      </c>
      <c r="M576" s="20">
        <f t="shared" si="126"/>
        <v>2.8429970591319992E-2</v>
      </c>
    </row>
    <row r="577" spans="1:13" x14ac:dyDescent="0.25">
      <c r="A577" s="37">
        <v>43053</v>
      </c>
      <c r="B577">
        <v>2017.8689999999999</v>
      </c>
      <c r="C577" s="40">
        <f t="shared" si="116"/>
        <v>9814</v>
      </c>
      <c r="D577">
        <v>199.19</v>
      </c>
      <c r="E577" s="20">
        <f t="shared" si="119"/>
        <v>0</v>
      </c>
      <c r="F577" s="18">
        <f t="shared" si="120"/>
        <v>13.270209989209235</v>
      </c>
      <c r="G577" s="14">
        <f t="shared" si="121"/>
        <v>552.94920571520493</v>
      </c>
      <c r="H577" s="14">
        <f t="shared" si="122"/>
        <v>0</v>
      </c>
      <c r="I577" s="19">
        <f t="shared" si="123"/>
        <v>0</v>
      </c>
      <c r="J577" s="14">
        <f t="shared" si="124"/>
        <v>232.63780571520493</v>
      </c>
      <c r="K577" s="14">
        <f t="shared" si="128"/>
        <v>15.540174952811753</v>
      </c>
      <c r="L577" s="14">
        <f t="shared" si="128"/>
        <v>0.54486692010328763</v>
      </c>
      <c r="M577" s="20">
        <f t="shared" si="126"/>
        <v>2.8429970591319992E-2</v>
      </c>
    </row>
    <row r="578" spans="1:13" x14ac:dyDescent="0.25">
      <c r="A578" s="37">
        <v>43067</v>
      </c>
      <c r="B578">
        <v>2017.9069999999999</v>
      </c>
      <c r="C578" s="40">
        <f t="shared" si="116"/>
        <v>9828</v>
      </c>
      <c r="D578">
        <v>199.09</v>
      </c>
      <c r="E578" s="20">
        <f t="shared" si="119"/>
        <v>-1.5915507752442921E-3</v>
      </c>
      <c r="F578" s="18">
        <f t="shared" si="120"/>
        <v>13.268618438433991</v>
      </c>
      <c r="G578" s="14">
        <f t="shared" si="121"/>
        <v>552.81657873131655</v>
      </c>
      <c r="H578" s="14">
        <f t="shared" si="122"/>
        <v>-0.1326269838883718</v>
      </c>
      <c r="I578" s="19">
        <f t="shared" si="123"/>
        <v>-2.3991137203725581E-4</v>
      </c>
      <c r="J578" s="14">
        <f t="shared" si="124"/>
        <v>232.50517873131656</v>
      </c>
      <c r="K578" s="14">
        <f t="shared" si="128"/>
        <v>15.407547968923382</v>
      </c>
      <c r="L578" s="14">
        <f t="shared" si="128"/>
        <v>0.54462700873125036</v>
      </c>
      <c r="M578" s="20">
        <f t="shared" si="126"/>
        <v>2.8190059219282734E-2</v>
      </c>
    </row>
    <row r="579" spans="1:13" x14ac:dyDescent="0.25">
      <c r="A579" s="37">
        <v>43090</v>
      </c>
      <c r="B579">
        <v>2017.97</v>
      </c>
      <c r="C579" s="40">
        <f t="shared" si="116"/>
        <v>9851</v>
      </c>
      <c r="D579">
        <v>198.39</v>
      </c>
      <c r="E579" s="20">
        <f t="shared" si="119"/>
        <v>-1.1140855426710949E-2</v>
      </c>
      <c r="F579" s="18">
        <f t="shared" si="120"/>
        <v>13.25747758300728</v>
      </c>
      <c r="G579" s="14">
        <f t="shared" si="121"/>
        <v>551.88863525277327</v>
      </c>
      <c r="H579" s="14">
        <f t="shared" si="122"/>
        <v>-0.92794347854328407</v>
      </c>
      <c r="I579" s="19">
        <f t="shared" si="123"/>
        <v>-1.6813962442228441E-3</v>
      </c>
      <c r="J579" s="14">
        <f t="shared" si="124"/>
        <v>231.57723525277328</v>
      </c>
      <c r="K579" s="14">
        <f t="shared" si="128"/>
        <v>14.479604490380098</v>
      </c>
      <c r="L579" s="14">
        <f t="shared" si="128"/>
        <v>0.54294561248702755</v>
      </c>
      <c r="M579" s="20">
        <f t="shared" si="126"/>
        <v>2.6508662975059889E-2</v>
      </c>
    </row>
    <row r="580" spans="1:13" x14ac:dyDescent="0.25">
      <c r="A580" s="37">
        <v>43117</v>
      </c>
      <c r="B580">
        <v>2018.046</v>
      </c>
      <c r="C580" s="40">
        <f t="shared" si="116"/>
        <v>9878</v>
      </c>
      <c r="D580">
        <v>199.39</v>
      </c>
      <c r="E580" s="20">
        <f>((D580-D579)/10)/(2*3.14159)</f>
        <v>1.5915507752443828E-2</v>
      </c>
      <c r="F580" s="18">
        <f>E580+F579</f>
        <v>13.273393090759724</v>
      </c>
      <c r="G580" s="14">
        <f>3.14*(F580^2)</f>
        <v>553.21450740533987</v>
      </c>
      <c r="H580" s="14">
        <f>G580-G579</f>
        <v>1.3258721525666033</v>
      </c>
      <c r="I580" s="19">
        <f>H580/G580</f>
        <v>2.3966691668755131E-3</v>
      </c>
      <c r="J580" s="14">
        <f>H580+J579</f>
        <v>232.90310740533988</v>
      </c>
      <c r="K580" s="14">
        <f>H580</f>
        <v>1.3258721525666033</v>
      </c>
      <c r="L580" s="14">
        <f>I580+L579</f>
        <v>0.54534228165390308</v>
      </c>
      <c r="M580" s="20">
        <f>I580</f>
        <v>2.3966691668755131E-3</v>
      </c>
    </row>
    <row r="581" spans="1:13" x14ac:dyDescent="0.25">
      <c r="A581" s="37">
        <v>43139</v>
      </c>
      <c r="B581">
        <v>2018.107</v>
      </c>
      <c r="C581" s="40">
        <f t="shared" ref="C581:C644" si="129">A581-33239</f>
        <v>9900</v>
      </c>
      <c r="D581">
        <v>199.29</v>
      </c>
      <c r="E581" s="20">
        <f>((D581-D580)/10)/(2*3.14159)</f>
        <v>-1.5915507752442921E-3</v>
      </c>
      <c r="F581" s="18">
        <f>E581+F580</f>
        <v>13.27180153998448</v>
      </c>
      <c r="G581" s="14">
        <f>3.14*(F581^2)</f>
        <v>553.08184860654603</v>
      </c>
      <c r="H581" s="14">
        <f>G581-G580</f>
        <v>-0.13265879879384102</v>
      </c>
      <c r="I581" s="19">
        <f>H581/G581</f>
        <v>-2.3985382837651657E-4</v>
      </c>
      <c r="J581" s="14">
        <f>H581+J580</f>
        <v>232.77044860654604</v>
      </c>
      <c r="K581" s="14">
        <f>H581+K580</f>
        <v>1.1932133537727623</v>
      </c>
      <c r="L581" s="14">
        <f>I581+L580</f>
        <v>0.54510242782552654</v>
      </c>
      <c r="M581" s="20">
        <f>I581+M580</f>
        <v>2.1568153384989965E-3</v>
      </c>
    </row>
    <row r="582" spans="1:13" x14ac:dyDescent="0.25">
      <c r="A582" s="37">
        <v>43160</v>
      </c>
      <c r="B582">
        <v>2018.164</v>
      </c>
      <c r="C582" s="40">
        <f t="shared" si="129"/>
        <v>9921</v>
      </c>
      <c r="D582">
        <v>198.34</v>
      </c>
      <c r="E582" s="20">
        <f t="shared" ref="E582:E618" si="130">((D582-D581)/10)/(2*3.14159)</f>
        <v>-1.5119732364821455E-2</v>
      </c>
      <c r="F582" s="18">
        <f t="shared" ref="F582:F618" si="131">E582+F581</f>
        <v>13.256681807619659</v>
      </c>
      <c r="G582" s="14">
        <f t="shared" ref="G582:G618" si="132">3.14*(F582^2)</f>
        <v>551.8223834022084</v>
      </c>
      <c r="H582" s="14">
        <f t="shared" ref="H582:H618" si="133">G582-G581</f>
        <v>-1.25946520433763</v>
      </c>
      <c r="I582" s="19">
        <f t="shared" ref="I582:I618" si="134">H582/G582</f>
        <v>-2.2823742606679293E-3</v>
      </c>
      <c r="J582" s="14">
        <f t="shared" ref="J582:J618" si="135">H582+J581</f>
        <v>231.51098340220841</v>
      </c>
      <c r="K582" s="14">
        <f t="shared" ref="K582:L597" si="136">H582+K581</f>
        <v>-6.6251850564867709E-2</v>
      </c>
      <c r="L582" s="14">
        <f t="shared" si="136"/>
        <v>0.54282005356485863</v>
      </c>
      <c r="M582" s="20">
        <f t="shared" ref="M582:M618" si="137">I582+M581</f>
        <v>-1.255589221689328E-4</v>
      </c>
    </row>
    <row r="583" spans="1:13" x14ac:dyDescent="0.25">
      <c r="A583" s="37">
        <v>43173</v>
      </c>
      <c r="B583">
        <v>2018.1990000000001</v>
      </c>
      <c r="C583" s="40">
        <f t="shared" si="129"/>
        <v>9934</v>
      </c>
      <c r="D583">
        <v>197.99</v>
      </c>
      <c r="E583" s="20">
        <f t="shared" si="130"/>
        <v>-5.5704277133552492E-3</v>
      </c>
      <c r="F583" s="18">
        <f t="shared" si="131"/>
        <v>13.251111379906304</v>
      </c>
      <c r="G583" s="14">
        <f t="shared" si="132"/>
        <v>551.35873180042256</v>
      </c>
      <c r="H583" s="14">
        <f t="shared" si="133"/>
        <v>-0.46365160178584119</v>
      </c>
      <c r="I583" s="19">
        <f t="shared" si="134"/>
        <v>-8.4092547200952095E-4</v>
      </c>
      <c r="J583" s="14">
        <f t="shared" si="135"/>
        <v>231.04733180042257</v>
      </c>
      <c r="K583" s="14">
        <f t="shared" si="136"/>
        <v>-0.5299034523507089</v>
      </c>
      <c r="L583" s="14">
        <f t="shared" si="136"/>
        <v>0.54197912809284909</v>
      </c>
      <c r="M583" s="20">
        <f t="shared" si="137"/>
        <v>-9.6648439417845375E-4</v>
      </c>
    </row>
    <row r="584" spans="1:13" x14ac:dyDescent="0.25">
      <c r="A584" s="37">
        <v>43186</v>
      </c>
      <c r="B584">
        <v>2018.2349999999999</v>
      </c>
      <c r="C584" s="40">
        <f t="shared" si="129"/>
        <v>9947</v>
      </c>
      <c r="D584">
        <v>198.19</v>
      </c>
      <c r="E584" s="20">
        <f t="shared" si="130"/>
        <v>3.1831015504885842E-3</v>
      </c>
      <c r="F584" s="18">
        <f t="shared" si="131"/>
        <v>13.254294481456792</v>
      </c>
      <c r="G584" s="14">
        <f t="shared" si="132"/>
        <v>551.62365171169267</v>
      </c>
      <c r="H584" s="14">
        <f t="shared" si="133"/>
        <v>0.26491991127011261</v>
      </c>
      <c r="I584" s="19">
        <f t="shared" si="134"/>
        <v>4.8025480859652042E-4</v>
      </c>
      <c r="J584" s="14">
        <f t="shared" si="135"/>
        <v>231.31225171169268</v>
      </c>
      <c r="K584" s="14">
        <f t="shared" si="136"/>
        <v>-0.2649835410805963</v>
      </c>
      <c r="L584" s="14">
        <f t="shared" si="136"/>
        <v>0.54245938290144557</v>
      </c>
      <c r="M584" s="20">
        <f t="shared" si="137"/>
        <v>-4.8622958558193334E-4</v>
      </c>
    </row>
    <row r="585" spans="1:13" x14ac:dyDescent="0.25">
      <c r="A585" s="37">
        <v>43194</v>
      </c>
      <c r="B585">
        <v>2018.2570000000001</v>
      </c>
      <c r="C585" s="40">
        <f t="shared" si="129"/>
        <v>9955</v>
      </c>
      <c r="D585">
        <v>198.49</v>
      </c>
      <c r="E585" s="20">
        <f t="shared" si="130"/>
        <v>4.7746523257333291E-3</v>
      </c>
      <c r="F585" s="18">
        <f t="shared" si="131"/>
        <v>13.259069133782527</v>
      </c>
      <c r="G585" s="14">
        <f t="shared" si="132"/>
        <v>552.02115088449295</v>
      </c>
      <c r="H585" s="14">
        <f t="shared" si="133"/>
        <v>0.39749917280028058</v>
      </c>
      <c r="I585" s="19">
        <f t="shared" si="134"/>
        <v>7.200796059415028E-4</v>
      </c>
      <c r="J585" s="14">
        <f t="shared" si="135"/>
        <v>231.70975088449296</v>
      </c>
      <c r="K585" s="14">
        <f t="shared" si="136"/>
        <v>0.13251563171968428</v>
      </c>
      <c r="L585" s="14">
        <f t="shared" si="136"/>
        <v>0.54317946250738702</v>
      </c>
      <c r="M585" s="20">
        <f t="shared" si="137"/>
        <v>2.3385002035956946E-4</v>
      </c>
    </row>
    <row r="586" spans="1:13" x14ac:dyDescent="0.25">
      <c r="A586" s="37">
        <v>43200</v>
      </c>
      <c r="B586">
        <v>2018.2729999999999</v>
      </c>
      <c r="C586" s="40">
        <f t="shared" si="129"/>
        <v>9961</v>
      </c>
      <c r="D586">
        <v>198.49</v>
      </c>
      <c r="E586" s="20">
        <f t="shared" si="130"/>
        <v>0</v>
      </c>
      <c r="F586" s="18">
        <f t="shared" si="131"/>
        <v>13.259069133782527</v>
      </c>
      <c r="G586" s="14">
        <f t="shared" si="132"/>
        <v>552.02115088449295</v>
      </c>
      <c r="H586" s="14">
        <f t="shared" si="133"/>
        <v>0</v>
      </c>
      <c r="I586" s="19">
        <f t="shared" si="134"/>
        <v>0</v>
      </c>
      <c r="J586" s="14">
        <f t="shared" si="135"/>
        <v>231.70975088449296</v>
      </c>
      <c r="K586" s="14">
        <f t="shared" si="136"/>
        <v>0.13251563171968428</v>
      </c>
      <c r="L586" s="14">
        <f t="shared" si="136"/>
        <v>0.54317946250738702</v>
      </c>
      <c r="M586" s="20">
        <f t="shared" si="137"/>
        <v>2.3385002035956946E-4</v>
      </c>
    </row>
    <row r="587" spans="1:13" x14ac:dyDescent="0.25">
      <c r="A587" s="37">
        <v>43208</v>
      </c>
      <c r="B587">
        <v>2018.2950000000001</v>
      </c>
      <c r="C587" s="40">
        <f t="shared" si="129"/>
        <v>9969</v>
      </c>
      <c r="D587">
        <v>198.54</v>
      </c>
      <c r="E587" s="20">
        <f t="shared" si="130"/>
        <v>7.9577538762192E-4</v>
      </c>
      <c r="F587" s="18">
        <f t="shared" si="131"/>
        <v>13.259864909170149</v>
      </c>
      <c r="G587" s="14">
        <f t="shared" si="132"/>
        <v>552.08741466564754</v>
      </c>
      <c r="H587" s="14">
        <f t="shared" si="133"/>
        <v>6.6263781154589196E-2</v>
      </c>
      <c r="I587" s="19">
        <f t="shared" si="134"/>
        <v>1.2002407480112463E-4</v>
      </c>
      <c r="J587" s="14">
        <f t="shared" si="135"/>
        <v>231.77601466564755</v>
      </c>
      <c r="K587" s="14">
        <f t="shared" si="136"/>
        <v>0.19877941287427348</v>
      </c>
      <c r="L587" s="14">
        <f t="shared" si="136"/>
        <v>0.54329948658218818</v>
      </c>
      <c r="M587" s="20">
        <f t="shared" si="137"/>
        <v>3.5387409516069411E-4</v>
      </c>
    </row>
    <row r="588" spans="1:13" x14ac:dyDescent="0.25">
      <c r="A588" s="37">
        <v>43215</v>
      </c>
      <c r="B588">
        <v>2018.3140000000001</v>
      </c>
      <c r="C588" s="40">
        <f t="shared" si="129"/>
        <v>9976</v>
      </c>
      <c r="D588">
        <v>199.14</v>
      </c>
      <c r="E588" s="20">
        <f t="shared" si="130"/>
        <v>9.5493046514662054E-3</v>
      </c>
      <c r="F588" s="18">
        <f t="shared" si="131"/>
        <v>13.269414213821616</v>
      </c>
      <c r="G588" s="14">
        <f t="shared" si="132"/>
        <v>552.88289023482935</v>
      </c>
      <c r="H588" s="14">
        <f t="shared" si="133"/>
        <v>0.79547556918180362</v>
      </c>
      <c r="I588" s="19">
        <f t="shared" si="134"/>
        <v>1.4387776927658883E-3</v>
      </c>
      <c r="J588" s="14">
        <f t="shared" si="135"/>
        <v>232.57149023482935</v>
      </c>
      <c r="K588" s="14">
        <f t="shared" si="136"/>
        <v>0.9942549820560771</v>
      </c>
      <c r="L588" s="14">
        <f t="shared" si="136"/>
        <v>0.54473826427495409</v>
      </c>
      <c r="M588" s="20">
        <f t="shared" si="137"/>
        <v>1.7926517879265824E-3</v>
      </c>
    </row>
    <row r="589" spans="1:13" x14ac:dyDescent="0.25">
      <c r="A589" s="37">
        <v>43221</v>
      </c>
      <c r="B589">
        <v>2018.3309999999999</v>
      </c>
      <c r="C589" s="40">
        <f t="shared" si="129"/>
        <v>9982</v>
      </c>
      <c r="D589">
        <v>199.59</v>
      </c>
      <c r="E589" s="20">
        <f t="shared" si="130"/>
        <v>7.1619784885999932E-3</v>
      </c>
      <c r="F589" s="18">
        <f t="shared" si="131"/>
        <v>13.276576192310216</v>
      </c>
      <c r="G589" s="14">
        <f t="shared" si="132"/>
        <v>553.47987272528587</v>
      </c>
      <c r="H589" s="14">
        <f t="shared" si="133"/>
        <v>0.59698249045652574</v>
      </c>
      <c r="I589" s="19">
        <f t="shared" si="134"/>
        <v>1.0785983734458795E-3</v>
      </c>
      <c r="J589" s="14">
        <f t="shared" si="135"/>
        <v>233.16847272528588</v>
      </c>
      <c r="K589" s="14">
        <f t="shared" si="136"/>
        <v>1.5912374725126028</v>
      </c>
      <c r="L589" s="14">
        <f t="shared" si="136"/>
        <v>0.54581686264840001</v>
      </c>
      <c r="M589" s="20">
        <f t="shared" si="137"/>
        <v>2.8712501613724619E-3</v>
      </c>
    </row>
    <row r="590" spans="1:13" x14ac:dyDescent="0.25">
      <c r="A590" s="37">
        <v>43228</v>
      </c>
      <c r="B590">
        <v>2018.35</v>
      </c>
      <c r="C590" s="40">
        <f t="shared" si="129"/>
        <v>9989</v>
      </c>
      <c r="D590">
        <v>200.09</v>
      </c>
      <c r="E590" s="20">
        <f t="shared" si="130"/>
        <v>7.9577538762219142E-3</v>
      </c>
      <c r="F590" s="18">
        <f t="shared" si="131"/>
        <v>13.284533946186437</v>
      </c>
      <c r="G590" s="14">
        <f t="shared" si="132"/>
        <v>554.14356440557265</v>
      </c>
      <c r="H590" s="14">
        <f t="shared" si="133"/>
        <v>0.6636916802867745</v>
      </c>
      <c r="I590" s="19">
        <f t="shared" si="134"/>
        <v>1.1976890519313594E-3</v>
      </c>
      <c r="J590" s="14">
        <f t="shared" si="135"/>
        <v>233.83216440557266</v>
      </c>
      <c r="K590" s="14">
        <f t="shared" si="136"/>
        <v>2.2549291527993773</v>
      </c>
      <c r="L590" s="14">
        <f t="shared" si="136"/>
        <v>0.54701455170033142</v>
      </c>
      <c r="M590" s="20">
        <f t="shared" si="137"/>
        <v>4.0689392133038214E-3</v>
      </c>
    </row>
    <row r="591" spans="1:13" x14ac:dyDescent="0.25">
      <c r="A591" s="37">
        <v>43235</v>
      </c>
      <c r="B591">
        <v>2018.3689999999999</v>
      </c>
      <c r="C591" s="40">
        <f t="shared" si="129"/>
        <v>9996</v>
      </c>
      <c r="D591">
        <v>200.44</v>
      </c>
      <c r="E591" s="20">
        <f t="shared" si="130"/>
        <v>5.5704277133552492E-3</v>
      </c>
      <c r="F591" s="18">
        <f t="shared" si="131"/>
        <v>13.290104373899792</v>
      </c>
      <c r="G591" s="14">
        <f t="shared" si="132"/>
        <v>554.60838520513221</v>
      </c>
      <c r="H591" s="14">
        <f t="shared" si="133"/>
        <v>0.46482079955956124</v>
      </c>
      <c r="I591" s="19">
        <f t="shared" si="134"/>
        <v>8.3810633225034749E-4</v>
      </c>
      <c r="J591" s="14">
        <f t="shared" si="135"/>
        <v>234.29698520513222</v>
      </c>
      <c r="K591" s="14">
        <f t="shared" si="136"/>
        <v>2.7197499523589386</v>
      </c>
      <c r="L591" s="14">
        <f t="shared" si="136"/>
        <v>0.54785265803258176</v>
      </c>
      <c r="M591" s="20">
        <f t="shared" si="137"/>
        <v>4.9070455455541692E-3</v>
      </c>
    </row>
    <row r="592" spans="1:13" x14ac:dyDescent="0.25">
      <c r="A592" s="37">
        <v>43242</v>
      </c>
      <c r="B592">
        <v>2018.3879999999999</v>
      </c>
      <c r="C592" s="40">
        <f t="shared" si="129"/>
        <v>10003</v>
      </c>
      <c r="D592">
        <v>201.29</v>
      </c>
      <c r="E592" s="20">
        <f t="shared" si="130"/>
        <v>1.3528181589577163E-2</v>
      </c>
      <c r="F592" s="18">
        <f t="shared" si="131"/>
        <v>13.30363255548937</v>
      </c>
      <c r="G592" s="14">
        <f t="shared" si="132"/>
        <v>555.73804699843663</v>
      </c>
      <c r="H592" s="14">
        <f t="shared" si="133"/>
        <v>1.1296617933044217</v>
      </c>
      <c r="I592" s="19">
        <f t="shared" si="134"/>
        <v>2.0327235095847227E-3</v>
      </c>
      <c r="J592" s="14">
        <f t="shared" si="135"/>
        <v>235.42664699843664</v>
      </c>
      <c r="K592" s="14">
        <f t="shared" si="136"/>
        <v>3.8494117456633603</v>
      </c>
      <c r="L592" s="14">
        <f t="shared" si="136"/>
        <v>0.54988538154216648</v>
      </c>
      <c r="M592" s="20">
        <f t="shared" si="137"/>
        <v>6.9397690551388919E-3</v>
      </c>
    </row>
    <row r="593" spans="1:13" x14ac:dyDescent="0.25">
      <c r="A593" s="37">
        <v>43250</v>
      </c>
      <c r="B593">
        <v>2018.41</v>
      </c>
      <c r="C593" s="40">
        <f t="shared" si="129"/>
        <v>10011</v>
      </c>
      <c r="D593">
        <v>201.54</v>
      </c>
      <c r="E593" s="20">
        <f t="shared" si="130"/>
        <v>3.9788769381109571E-3</v>
      </c>
      <c r="F593" s="18">
        <f t="shared" si="131"/>
        <v>13.307611432427482</v>
      </c>
      <c r="G593" s="14">
        <f t="shared" si="132"/>
        <v>556.07051919453033</v>
      </c>
      <c r="H593" s="14">
        <f t="shared" si="133"/>
        <v>0.33247219609370404</v>
      </c>
      <c r="I593" s="19">
        <f t="shared" si="134"/>
        <v>5.9789574274732445E-4</v>
      </c>
      <c r="J593" s="14">
        <f t="shared" si="135"/>
        <v>235.75911919453034</v>
      </c>
      <c r="K593" s="14">
        <f t="shared" si="136"/>
        <v>4.1818839417570643</v>
      </c>
      <c r="L593" s="14">
        <f t="shared" si="136"/>
        <v>0.55048327728491386</v>
      </c>
      <c r="M593" s="20">
        <f t="shared" si="137"/>
        <v>7.5376647978862166E-3</v>
      </c>
    </row>
    <row r="594" spans="1:13" x14ac:dyDescent="0.25">
      <c r="A594" s="37">
        <v>43256</v>
      </c>
      <c r="B594">
        <v>2018.4259999999999</v>
      </c>
      <c r="C594" s="40">
        <f t="shared" si="129"/>
        <v>10017</v>
      </c>
      <c r="D594">
        <v>201.79</v>
      </c>
      <c r="E594" s="20">
        <f t="shared" si="130"/>
        <v>3.9788769381109571E-3</v>
      </c>
      <c r="F594" s="18">
        <f t="shared" si="131"/>
        <v>13.311590309365593</v>
      </c>
      <c r="G594" s="14">
        <f t="shared" si="132"/>
        <v>556.40309081220335</v>
      </c>
      <c r="H594" s="14">
        <f t="shared" si="133"/>
        <v>0.33257161767301113</v>
      </c>
      <c r="I594" s="19">
        <f t="shared" si="134"/>
        <v>5.9771705650941542E-4</v>
      </c>
      <c r="J594" s="14">
        <f t="shared" si="135"/>
        <v>236.09169081220335</v>
      </c>
      <c r="K594" s="14">
        <f t="shared" si="136"/>
        <v>4.5144555594300755</v>
      </c>
      <c r="L594" s="14">
        <f t="shared" si="136"/>
        <v>0.55108099434142332</v>
      </c>
      <c r="M594" s="20">
        <f t="shared" si="137"/>
        <v>8.1353818543956312E-3</v>
      </c>
    </row>
    <row r="595" spans="1:13" x14ac:dyDescent="0.25">
      <c r="A595" s="37">
        <v>43264</v>
      </c>
      <c r="B595">
        <v>2018.4480000000001</v>
      </c>
      <c r="C595" s="40">
        <f t="shared" si="129"/>
        <v>10025</v>
      </c>
      <c r="D595">
        <v>202.29</v>
      </c>
      <c r="E595" s="20">
        <f t="shared" si="130"/>
        <v>7.9577538762219142E-3</v>
      </c>
      <c r="F595" s="18">
        <f t="shared" si="131"/>
        <v>13.319548063241815</v>
      </c>
      <c r="G595" s="14">
        <f t="shared" si="132"/>
        <v>557.06853231228752</v>
      </c>
      <c r="H595" s="14">
        <f t="shared" si="133"/>
        <v>0.66544150008417091</v>
      </c>
      <c r="I595" s="19">
        <f t="shared" si="134"/>
        <v>1.1945415357102428E-3</v>
      </c>
      <c r="J595" s="14">
        <f t="shared" si="135"/>
        <v>236.75713231228752</v>
      </c>
      <c r="K595" s="14">
        <f t="shared" si="136"/>
        <v>5.1798970595142464</v>
      </c>
      <c r="L595" s="14">
        <f t="shared" si="136"/>
        <v>0.55227553587713352</v>
      </c>
      <c r="M595" s="20">
        <f t="shared" si="137"/>
        <v>9.3299233901058733E-3</v>
      </c>
    </row>
    <row r="596" spans="1:13" x14ac:dyDescent="0.25">
      <c r="A596" s="37">
        <v>43271</v>
      </c>
      <c r="B596">
        <v>2018.4670000000001</v>
      </c>
      <c r="C596" s="40">
        <f t="shared" si="129"/>
        <v>10032</v>
      </c>
      <c r="D596">
        <v>202.49</v>
      </c>
      <c r="E596" s="20">
        <f t="shared" si="130"/>
        <v>3.1831015504890365E-3</v>
      </c>
      <c r="F596" s="18">
        <f t="shared" si="131"/>
        <v>13.322731164792303</v>
      </c>
      <c r="G596" s="14">
        <f t="shared" si="132"/>
        <v>557.33482026449019</v>
      </c>
      <c r="H596" s="14">
        <f t="shared" si="133"/>
        <v>0.26628795220267421</v>
      </c>
      <c r="I596" s="19">
        <f t="shared" si="134"/>
        <v>4.7778811321407108E-4</v>
      </c>
      <c r="J596" s="14">
        <f t="shared" si="135"/>
        <v>237.0234202644902</v>
      </c>
      <c r="K596" s="14">
        <f t="shared" si="136"/>
        <v>5.4461850117169206</v>
      </c>
      <c r="L596" s="14">
        <f t="shared" si="136"/>
        <v>0.5527533239903476</v>
      </c>
      <c r="M596" s="20">
        <f t="shared" si="137"/>
        <v>9.807711503319945E-3</v>
      </c>
    </row>
    <row r="597" spans="1:13" x14ac:dyDescent="0.25">
      <c r="A597" s="37">
        <v>43278</v>
      </c>
      <c r="B597">
        <v>2018.4860000000001</v>
      </c>
      <c r="C597" s="40">
        <f t="shared" si="129"/>
        <v>10039</v>
      </c>
      <c r="D597">
        <v>202.14</v>
      </c>
      <c r="E597" s="20">
        <f t="shared" si="130"/>
        <v>-5.5704277133557011E-3</v>
      </c>
      <c r="F597" s="18">
        <f t="shared" si="131"/>
        <v>13.317160737078948</v>
      </c>
      <c r="G597" s="14">
        <f t="shared" si="132"/>
        <v>556.86885810519902</v>
      </c>
      <c r="H597" s="14">
        <f t="shared" si="133"/>
        <v>-0.46596215929116624</v>
      </c>
      <c r="I597" s="19">
        <f t="shared" si="134"/>
        <v>-8.3675384699487103E-4</v>
      </c>
      <c r="J597" s="14">
        <f t="shared" si="135"/>
        <v>236.55745810519903</v>
      </c>
      <c r="K597" s="14">
        <f t="shared" si="136"/>
        <v>4.9802228524257544</v>
      </c>
      <c r="L597" s="14">
        <f t="shared" si="136"/>
        <v>0.55191657014335271</v>
      </c>
      <c r="M597" s="20">
        <f t="shared" si="137"/>
        <v>8.970957656325074E-3</v>
      </c>
    </row>
    <row r="598" spans="1:13" x14ac:dyDescent="0.25">
      <c r="A598" s="37">
        <v>43286</v>
      </c>
      <c r="B598">
        <v>2018.508</v>
      </c>
      <c r="C598" s="40">
        <f t="shared" si="129"/>
        <v>10047</v>
      </c>
      <c r="D598">
        <v>201.89</v>
      </c>
      <c r="E598" s="20">
        <f t="shared" si="130"/>
        <v>-3.9788769381109571E-3</v>
      </c>
      <c r="F598" s="18">
        <f t="shared" si="131"/>
        <v>13.313181860140837</v>
      </c>
      <c r="G598" s="14">
        <f t="shared" si="132"/>
        <v>556.53614729731476</v>
      </c>
      <c r="H598" s="14">
        <f t="shared" si="133"/>
        <v>-0.33271080788426843</v>
      </c>
      <c r="I598" s="19">
        <f t="shared" si="134"/>
        <v>-5.9782425544144659E-4</v>
      </c>
      <c r="J598" s="14">
        <f t="shared" si="135"/>
        <v>236.22474729731476</v>
      </c>
      <c r="K598" s="14">
        <f t="shared" ref="K598:L613" si="138">H598+K597</f>
        <v>4.6475120445414859</v>
      </c>
      <c r="L598" s="14">
        <f t="shared" si="138"/>
        <v>0.5513187458879113</v>
      </c>
      <c r="M598" s="20">
        <f t="shared" si="137"/>
        <v>8.373133400883628E-3</v>
      </c>
    </row>
    <row r="599" spans="1:13" x14ac:dyDescent="0.25">
      <c r="A599" s="37">
        <v>43292</v>
      </c>
      <c r="B599">
        <v>2018.5250000000001</v>
      </c>
      <c r="C599" s="40">
        <f t="shared" si="129"/>
        <v>10053</v>
      </c>
      <c r="D599">
        <v>202.19</v>
      </c>
      <c r="E599" s="20">
        <f t="shared" si="130"/>
        <v>4.7746523257333291E-3</v>
      </c>
      <c r="F599" s="18">
        <f t="shared" si="131"/>
        <v>13.317956512466571</v>
      </c>
      <c r="G599" s="14">
        <f t="shared" si="132"/>
        <v>556.93541219736539</v>
      </c>
      <c r="H599" s="14">
        <f t="shared" si="133"/>
        <v>0.39926490005063897</v>
      </c>
      <c r="I599" s="19">
        <f t="shared" si="134"/>
        <v>7.1689623483512386E-4</v>
      </c>
      <c r="J599" s="14">
        <f t="shared" si="135"/>
        <v>236.6240121973654</v>
      </c>
      <c r="K599" s="14">
        <f t="shared" si="138"/>
        <v>5.0467769445921249</v>
      </c>
      <c r="L599" s="14">
        <f t="shared" si="138"/>
        <v>0.55203564212274647</v>
      </c>
      <c r="M599" s="20">
        <f t="shared" si="137"/>
        <v>9.0900296357187514E-3</v>
      </c>
    </row>
    <row r="600" spans="1:13" x14ac:dyDescent="0.25">
      <c r="A600" s="37">
        <v>43298</v>
      </c>
      <c r="B600">
        <v>2018.5409999999999</v>
      </c>
      <c r="C600" s="40">
        <f t="shared" si="129"/>
        <v>10059</v>
      </c>
      <c r="D600">
        <v>202.29</v>
      </c>
      <c r="E600" s="20">
        <f t="shared" si="130"/>
        <v>1.5915507752442921E-3</v>
      </c>
      <c r="F600" s="18">
        <f t="shared" si="131"/>
        <v>13.319548063241815</v>
      </c>
      <c r="G600" s="14">
        <f t="shared" si="132"/>
        <v>557.06853231228752</v>
      </c>
      <c r="H600" s="14">
        <f t="shared" si="133"/>
        <v>0.1331201149221215</v>
      </c>
      <c r="I600" s="19">
        <f t="shared" si="134"/>
        <v>2.3896541843705432E-4</v>
      </c>
      <c r="J600" s="14">
        <f t="shared" si="135"/>
        <v>236.75713231228752</v>
      </c>
      <c r="K600" s="14">
        <f t="shared" si="138"/>
        <v>5.1798970595142464</v>
      </c>
      <c r="L600" s="14">
        <f t="shared" si="138"/>
        <v>0.55227460754118352</v>
      </c>
      <c r="M600" s="20">
        <f t="shared" si="137"/>
        <v>9.3289950541558062E-3</v>
      </c>
    </row>
    <row r="601" spans="1:13" x14ac:dyDescent="0.25">
      <c r="A601" s="37">
        <v>43305</v>
      </c>
      <c r="B601">
        <v>2018.56</v>
      </c>
      <c r="C601" s="40">
        <f t="shared" si="129"/>
        <v>10066</v>
      </c>
      <c r="D601">
        <v>202.49</v>
      </c>
      <c r="E601" s="20">
        <f t="shared" si="130"/>
        <v>3.1831015504890365E-3</v>
      </c>
      <c r="F601" s="18">
        <f t="shared" si="131"/>
        <v>13.322731164792303</v>
      </c>
      <c r="G601" s="14">
        <f t="shared" si="132"/>
        <v>557.33482026449019</v>
      </c>
      <c r="H601" s="14">
        <f t="shared" si="133"/>
        <v>0.26628795220267421</v>
      </c>
      <c r="I601" s="19">
        <f t="shared" si="134"/>
        <v>4.7778811321407108E-4</v>
      </c>
      <c r="J601" s="14">
        <f t="shared" si="135"/>
        <v>237.0234202644902</v>
      </c>
      <c r="K601" s="14">
        <f t="shared" si="138"/>
        <v>5.4461850117169206</v>
      </c>
      <c r="L601" s="14">
        <f t="shared" si="138"/>
        <v>0.5527523956543976</v>
      </c>
      <c r="M601" s="20">
        <f t="shared" si="137"/>
        <v>9.8067831673698778E-3</v>
      </c>
    </row>
    <row r="602" spans="1:13" x14ac:dyDescent="0.25">
      <c r="A602" s="37">
        <v>43313</v>
      </c>
      <c r="B602">
        <v>2018.5820000000001</v>
      </c>
      <c r="C602" s="40">
        <f t="shared" si="129"/>
        <v>10074</v>
      </c>
      <c r="D602">
        <v>202.64</v>
      </c>
      <c r="E602" s="20">
        <f t="shared" si="130"/>
        <v>2.3873261628662122E-3</v>
      </c>
      <c r="F602" s="18">
        <f t="shared" si="131"/>
        <v>13.32511849095517</v>
      </c>
      <c r="G602" s="14">
        <f t="shared" si="132"/>
        <v>557.53457798570548</v>
      </c>
      <c r="H602" s="14">
        <f t="shared" si="133"/>
        <v>0.19975772121529189</v>
      </c>
      <c r="I602" s="19">
        <f t="shared" si="134"/>
        <v>3.5828759166290389E-4</v>
      </c>
      <c r="J602" s="14">
        <f t="shared" si="135"/>
        <v>237.22317798570549</v>
      </c>
      <c r="K602" s="14">
        <f t="shared" si="138"/>
        <v>5.6459427329322125</v>
      </c>
      <c r="L602" s="14">
        <f t="shared" si="138"/>
        <v>0.5531106832460605</v>
      </c>
      <c r="M602" s="20">
        <f t="shared" si="137"/>
        <v>1.0165070759032781E-2</v>
      </c>
    </row>
    <row r="603" spans="1:13" x14ac:dyDescent="0.25">
      <c r="A603" s="37">
        <v>43319</v>
      </c>
      <c r="B603">
        <v>2018.598</v>
      </c>
      <c r="C603" s="40">
        <f t="shared" si="129"/>
        <v>10080</v>
      </c>
      <c r="D603">
        <v>202.79</v>
      </c>
      <c r="E603" s="20">
        <f t="shared" si="130"/>
        <v>2.3873261628666645E-3</v>
      </c>
      <c r="F603" s="18">
        <f t="shared" si="131"/>
        <v>13.327505817118036</v>
      </c>
      <c r="G603" s="14">
        <f t="shared" si="132"/>
        <v>557.73437149868948</v>
      </c>
      <c r="H603" s="14">
        <f t="shared" si="133"/>
        <v>0.19979351298400161</v>
      </c>
      <c r="I603" s="19">
        <f t="shared" si="134"/>
        <v>3.5822341816075625E-4</v>
      </c>
      <c r="J603" s="14">
        <f t="shared" si="135"/>
        <v>237.42297149868949</v>
      </c>
      <c r="K603" s="14">
        <f t="shared" si="138"/>
        <v>5.8457362459162141</v>
      </c>
      <c r="L603" s="14">
        <f t="shared" si="138"/>
        <v>0.55346890666422122</v>
      </c>
      <c r="M603" s="20">
        <f t="shared" si="137"/>
        <v>1.0523294177193537E-2</v>
      </c>
    </row>
    <row r="604" spans="1:13" x14ac:dyDescent="0.25">
      <c r="A604" s="37">
        <v>43327</v>
      </c>
      <c r="B604">
        <v>2018.62</v>
      </c>
      <c r="C604" s="40">
        <f t="shared" si="129"/>
        <v>10088</v>
      </c>
      <c r="D604">
        <v>203.09</v>
      </c>
      <c r="E604" s="20">
        <f t="shared" si="130"/>
        <v>4.7746523257333291E-3</v>
      </c>
      <c r="F604" s="18">
        <f t="shared" si="131"/>
        <v>13.33228046944377</v>
      </c>
      <c r="G604" s="14">
        <f t="shared" si="132"/>
        <v>558.13406589996305</v>
      </c>
      <c r="H604" s="14">
        <f t="shared" si="133"/>
        <v>0.39969440127356393</v>
      </c>
      <c r="I604" s="19">
        <f t="shared" si="134"/>
        <v>7.1612615264591824E-4</v>
      </c>
      <c r="J604" s="14">
        <f t="shared" si="135"/>
        <v>237.82266589996306</v>
      </c>
      <c r="K604" s="14">
        <f t="shared" si="138"/>
        <v>6.245430647189778</v>
      </c>
      <c r="L604" s="14">
        <f t="shared" si="138"/>
        <v>0.55418503281686715</v>
      </c>
      <c r="M604" s="20">
        <f t="shared" si="137"/>
        <v>1.1239420329839454E-2</v>
      </c>
    </row>
    <row r="605" spans="1:13" x14ac:dyDescent="0.25">
      <c r="A605" s="37">
        <v>43333</v>
      </c>
      <c r="B605">
        <v>2018.6369999999999</v>
      </c>
      <c r="C605" s="40">
        <f t="shared" si="129"/>
        <v>10094</v>
      </c>
      <c r="D605">
        <v>203.29</v>
      </c>
      <c r="E605" s="20">
        <f t="shared" si="130"/>
        <v>3.1831015504885842E-3</v>
      </c>
      <c r="F605" s="18">
        <f t="shared" si="131"/>
        <v>13.335463570994259</v>
      </c>
      <c r="G605" s="14">
        <f t="shared" si="132"/>
        <v>558.40060837140891</v>
      </c>
      <c r="H605" s="14">
        <f t="shared" si="133"/>
        <v>0.26654247144585952</v>
      </c>
      <c r="I605" s="19">
        <f t="shared" si="134"/>
        <v>4.773319861223614E-4</v>
      </c>
      <c r="J605" s="14">
        <f t="shared" si="135"/>
        <v>238.08920837140892</v>
      </c>
      <c r="K605" s="14">
        <f t="shared" si="138"/>
        <v>6.5119731186356375</v>
      </c>
      <c r="L605" s="14">
        <f t="shared" si="138"/>
        <v>0.55466236480298947</v>
      </c>
      <c r="M605" s="20">
        <f t="shared" si="137"/>
        <v>1.1716752315961816E-2</v>
      </c>
    </row>
    <row r="606" spans="1:13" x14ac:dyDescent="0.25">
      <c r="A606" s="37">
        <v>43340</v>
      </c>
      <c r="B606">
        <v>2018.6559999999999</v>
      </c>
      <c r="C606" s="40">
        <f t="shared" si="129"/>
        <v>10101</v>
      </c>
      <c r="D606">
        <v>203.64</v>
      </c>
      <c r="E606" s="20">
        <f t="shared" si="130"/>
        <v>5.5704277133552492E-3</v>
      </c>
      <c r="F606" s="18">
        <f t="shared" si="131"/>
        <v>13.341033998707614</v>
      </c>
      <c r="G606" s="14">
        <f t="shared" si="132"/>
        <v>558.86721080567156</v>
      </c>
      <c r="H606" s="14">
        <f t="shared" si="133"/>
        <v>0.46660243426265424</v>
      </c>
      <c r="I606" s="19">
        <f t="shared" si="134"/>
        <v>8.3490751513224943E-4</v>
      </c>
      <c r="J606" s="14">
        <f t="shared" si="135"/>
        <v>238.55581080567157</v>
      </c>
      <c r="K606" s="14">
        <f t="shared" si="138"/>
        <v>6.9785755528982918</v>
      </c>
      <c r="L606" s="14">
        <f t="shared" si="138"/>
        <v>0.55549727231812174</v>
      </c>
      <c r="M606" s="20">
        <f t="shared" si="137"/>
        <v>1.2551659831094065E-2</v>
      </c>
    </row>
    <row r="607" spans="1:13" x14ac:dyDescent="0.25">
      <c r="A607" s="37">
        <v>43347</v>
      </c>
      <c r="B607">
        <v>2018.675</v>
      </c>
      <c r="C607" s="40">
        <f t="shared" si="129"/>
        <v>10108</v>
      </c>
      <c r="D607">
        <v>203.49</v>
      </c>
      <c r="E607" s="20">
        <f t="shared" si="130"/>
        <v>-2.3873261628662122E-3</v>
      </c>
      <c r="F607" s="18">
        <f t="shared" si="131"/>
        <v>13.338646672544748</v>
      </c>
      <c r="G607" s="14">
        <f t="shared" si="132"/>
        <v>558.66721447266571</v>
      </c>
      <c r="H607" s="14">
        <f t="shared" si="133"/>
        <v>-0.19999633300585629</v>
      </c>
      <c r="I607" s="19">
        <f t="shared" si="134"/>
        <v>-3.5798831186941192E-4</v>
      </c>
      <c r="J607" s="14">
        <f t="shared" si="135"/>
        <v>238.35581447266571</v>
      </c>
      <c r="K607" s="14">
        <f t="shared" si="138"/>
        <v>6.7785792198924355</v>
      </c>
      <c r="L607" s="14">
        <f t="shared" si="138"/>
        <v>0.55513928400625234</v>
      </c>
      <c r="M607" s="20">
        <f t="shared" si="137"/>
        <v>1.2193671519224653E-2</v>
      </c>
    </row>
    <row r="608" spans="1:13" x14ac:dyDescent="0.25">
      <c r="A608" s="37">
        <v>43354</v>
      </c>
      <c r="B608">
        <v>2018.694</v>
      </c>
      <c r="C608" s="40">
        <f t="shared" si="129"/>
        <v>10115</v>
      </c>
      <c r="D608">
        <v>203.69</v>
      </c>
      <c r="E608" s="20">
        <f t="shared" si="130"/>
        <v>3.1831015504885842E-3</v>
      </c>
      <c r="F608" s="18">
        <f t="shared" si="131"/>
        <v>13.341829774095237</v>
      </c>
      <c r="G608" s="14">
        <f t="shared" si="132"/>
        <v>558.93388420373321</v>
      </c>
      <c r="H608" s="14">
        <f t="shared" si="133"/>
        <v>0.26666973106750902</v>
      </c>
      <c r="I608" s="19">
        <f t="shared" si="134"/>
        <v>4.7710424900685935E-4</v>
      </c>
      <c r="J608" s="14">
        <f t="shared" si="135"/>
        <v>238.62248420373322</v>
      </c>
      <c r="K608" s="14">
        <f t="shared" si="138"/>
        <v>7.0452489509599445</v>
      </c>
      <c r="L608" s="14">
        <f t="shared" si="138"/>
        <v>0.55561638825525916</v>
      </c>
      <c r="M608" s="20">
        <f t="shared" si="137"/>
        <v>1.2670775768231512E-2</v>
      </c>
    </row>
    <row r="609" spans="1:13" x14ac:dyDescent="0.25">
      <c r="A609" s="37">
        <v>43361</v>
      </c>
      <c r="B609">
        <v>2018.713</v>
      </c>
      <c r="C609" s="40">
        <f t="shared" si="129"/>
        <v>10122</v>
      </c>
      <c r="D609">
        <v>203.49</v>
      </c>
      <c r="E609" s="20">
        <f t="shared" si="130"/>
        <v>-3.1831015504885842E-3</v>
      </c>
      <c r="F609" s="18">
        <f t="shared" si="131"/>
        <v>13.338646672544748</v>
      </c>
      <c r="G609" s="14">
        <f t="shared" si="132"/>
        <v>558.66721447266571</v>
      </c>
      <c r="H609" s="14">
        <f t="shared" si="133"/>
        <v>-0.26666973106750902</v>
      </c>
      <c r="I609" s="19">
        <f t="shared" si="134"/>
        <v>-4.7733198612562674E-4</v>
      </c>
      <c r="J609" s="14">
        <f t="shared" si="135"/>
        <v>238.35581447266571</v>
      </c>
      <c r="K609" s="14">
        <f t="shared" si="138"/>
        <v>6.7785792198924355</v>
      </c>
      <c r="L609" s="14">
        <f t="shared" si="138"/>
        <v>0.55513905626913351</v>
      </c>
      <c r="M609" s="20">
        <f t="shared" si="137"/>
        <v>1.2193443782105885E-2</v>
      </c>
    </row>
    <row r="610" spans="1:13" x14ac:dyDescent="0.25">
      <c r="A610" s="37">
        <v>43368</v>
      </c>
      <c r="B610">
        <v>2018.732</v>
      </c>
      <c r="C610" s="40">
        <f t="shared" si="129"/>
        <v>10129</v>
      </c>
      <c r="D610">
        <v>203.34</v>
      </c>
      <c r="E610" s="20">
        <f t="shared" si="130"/>
        <v>-2.3873261628666645E-3</v>
      </c>
      <c r="F610" s="18">
        <f t="shared" si="131"/>
        <v>13.336259346381881</v>
      </c>
      <c r="G610" s="14">
        <f t="shared" si="132"/>
        <v>558.46725393142844</v>
      </c>
      <c r="H610" s="14">
        <f t="shared" si="133"/>
        <v>-0.19996054123726026</v>
      </c>
      <c r="I610" s="19">
        <f t="shared" si="134"/>
        <v>-3.580524011562054E-4</v>
      </c>
      <c r="J610" s="14">
        <f t="shared" si="135"/>
        <v>238.15585393142845</v>
      </c>
      <c r="K610" s="14">
        <f t="shared" si="138"/>
        <v>6.5786186786551752</v>
      </c>
      <c r="L610" s="14">
        <f t="shared" si="138"/>
        <v>0.55478100386797735</v>
      </c>
      <c r="M610" s="20">
        <f t="shared" si="137"/>
        <v>1.183539138094968E-2</v>
      </c>
    </row>
    <row r="611" spans="1:13" x14ac:dyDescent="0.25">
      <c r="A611" s="37">
        <v>43375</v>
      </c>
      <c r="B611">
        <v>2018.751</v>
      </c>
      <c r="C611" s="40">
        <f t="shared" si="129"/>
        <v>10136</v>
      </c>
      <c r="D611">
        <v>203.09</v>
      </c>
      <c r="E611" s="20">
        <f t="shared" si="130"/>
        <v>-3.9788769381109571E-3</v>
      </c>
      <c r="F611" s="18">
        <f t="shared" si="131"/>
        <v>13.33228046944377</v>
      </c>
      <c r="G611" s="14">
        <f t="shared" si="132"/>
        <v>558.13406589996305</v>
      </c>
      <c r="H611" s="14">
        <f t="shared" si="133"/>
        <v>-0.33318803146539722</v>
      </c>
      <c r="I611" s="19">
        <f t="shared" si="134"/>
        <v>-5.9696773915447776E-4</v>
      </c>
      <c r="J611" s="14">
        <f t="shared" si="135"/>
        <v>237.82266589996306</v>
      </c>
      <c r="K611" s="14">
        <f t="shared" si="138"/>
        <v>6.245430647189778</v>
      </c>
      <c r="L611" s="14">
        <f t="shared" si="138"/>
        <v>0.55418403612882283</v>
      </c>
      <c r="M611" s="20">
        <f t="shared" si="137"/>
        <v>1.1238423641795203E-2</v>
      </c>
    </row>
    <row r="612" spans="1:13" x14ac:dyDescent="0.25">
      <c r="A612" s="37">
        <v>43383</v>
      </c>
      <c r="B612">
        <v>2018.7729999999999</v>
      </c>
      <c r="C612" s="40">
        <f t="shared" si="129"/>
        <v>10144</v>
      </c>
      <c r="D612">
        <v>203.29</v>
      </c>
      <c r="E612" s="20">
        <f t="shared" si="130"/>
        <v>3.1831015504885842E-3</v>
      </c>
      <c r="F612" s="18">
        <f t="shared" si="131"/>
        <v>13.335463570994259</v>
      </c>
      <c r="G612" s="14">
        <f t="shared" si="132"/>
        <v>558.40060837140891</v>
      </c>
      <c r="H612" s="14">
        <f t="shared" si="133"/>
        <v>0.26654247144585952</v>
      </c>
      <c r="I612" s="19">
        <f t="shared" si="134"/>
        <v>4.773319861223614E-4</v>
      </c>
      <c r="J612" s="14">
        <f t="shared" si="135"/>
        <v>238.08920837140892</v>
      </c>
      <c r="K612" s="14">
        <f t="shared" si="138"/>
        <v>6.5119731186356375</v>
      </c>
      <c r="L612" s="14">
        <f t="shared" si="138"/>
        <v>0.55466136811494515</v>
      </c>
      <c r="M612" s="20">
        <f t="shared" si="137"/>
        <v>1.1715755627917565E-2</v>
      </c>
    </row>
    <row r="613" spans="1:13" x14ac:dyDescent="0.25">
      <c r="A613" s="37">
        <v>43390</v>
      </c>
      <c r="B613">
        <v>2018.7919999999999</v>
      </c>
      <c r="C613" s="40">
        <f t="shared" si="129"/>
        <v>10151</v>
      </c>
      <c r="D613">
        <v>203.99</v>
      </c>
      <c r="E613" s="20">
        <f t="shared" si="130"/>
        <v>1.1140855426710949E-2</v>
      </c>
      <c r="F613" s="18">
        <f t="shared" si="131"/>
        <v>13.346604426420971</v>
      </c>
      <c r="G613" s="14">
        <f t="shared" si="132"/>
        <v>559.33400810622993</v>
      </c>
      <c r="H613" s="14">
        <f t="shared" si="133"/>
        <v>0.93339973482102323</v>
      </c>
      <c r="I613" s="19">
        <f t="shared" si="134"/>
        <v>1.6687698607515207E-3</v>
      </c>
      <c r="J613" s="14">
        <f t="shared" si="135"/>
        <v>239.02260810622994</v>
      </c>
      <c r="K613" s="14">
        <f t="shared" si="138"/>
        <v>7.4453728534566608</v>
      </c>
      <c r="L613" s="14">
        <f t="shared" si="138"/>
        <v>0.55633013797569664</v>
      </c>
      <c r="M613" s="20">
        <f t="shared" si="137"/>
        <v>1.3384525488669086E-2</v>
      </c>
    </row>
    <row r="614" spans="1:13" x14ac:dyDescent="0.25">
      <c r="A614" s="37">
        <v>43398</v>
      </c>
      <c r="B614">
        <v>2018.8140000000001</v>
      </c>
      <c r="C614" s="40">
        <f t="shared" si="129"/>
        <v>10159</v>
      </c>
      <c r="D614">
        <v>205.59</v>
      </c>
      <c r="E614" s="20">
        <f t="shared" si="130"/>
        <v>2.546481240391003E-2</v>
      </c>
      <c r="F614" s="18">
        <f t="shared" si="131"/>
        <v>13.372069238824881</v>
      </c>
      <c r="G614" s="14">
        <f t="shared" si="132"/>
        <v>561.4704201856897</v>
      </c>
      <c r="H614" s="14">
        <f t="shared" si="133"/>
        <v>2.1364120794597738</v>
      </c>
      <c r="I614" s="19">
        <f t="shared" si="134"/>
        <v>3.8050305103396521E-3</v>
      </c>
      <c r="J614" s="14">
        <f t="shared" si="135"/>
        <v>241.15902018568971</v>
      </c>
      <c r="K614" s="14">
        <f t="shared" ref="K614:L618" si="139">H614+K613</f>
        <v>9.5817849329164346</v>
      </c>
      <c r="L614" s="14">
        <f t="shared" si="139"/>
        <v>0.56013516848603628</v>
      </c>
      <c r="M614" s="20">
        <f t="shared" si="137"/>
        <v>1.7189555999008739E-2</v>
      </c>
    </row>
    <row r="615" spans="1:13" x14ac:dyDescent="0.25">
      <c r="A615" s="37">
        <v>43405</v>
      </c>
      <c r="B615">
        <v>2018.8330000000001</v>
      </c>
      <c r="C615" s="40">
        <f t="shared" si="129"/>
        <v>10166</v>
      </c>
      <c r="D615">
        <v>205.89</v>
      </c>
      <c r="E615" s="20">
        <f t="shared" si="130"/>
        <v>4.7746523257328763E-3</v>
      </c>
      <c r="F615" s="18">
        <f t="shared" si="131"/>
        <v>13.376843891150614</v>
      </c>
      <c r="G615" s="14">
        <f t="shared" si="132"/>
        <v>561.87145081299036</v>
      </c>
      <c r="H615" s="14">
        <f t="shared" si="133"/>
        <v>0.40103062730065631</v>
      </c>
      <c r="I615" s="19">
        <f t="shared" si="134"/>
        <v>7.1374088631908923E-4</v>
      </c>
      <c r="J615" s="14">
        <f t="shared" si="135"/>
        <v>241.56005081299037</v>
      </c>
      <c r="K615" s="14">
        <f t="shared" si="139"/>
        <v>9.9828155602170909</v>
      </c>
      <c r="L615" s="14">
        <f t="shared" si="139"/>
        <v>0.56084890937235532</v>
      </c>
      <c r="M615" s="20">
        <f t="shared" si="137"/>
        <v>1.7903296885327828E-2</v>
      </c>
    </row>
    <row r="616" spans="1:13" x14ac:dyDescent="0.25">
      <c r="A616" s="37">
        <v>43412</v>
      </c>
      <c r="B616">
        <v>2018.8520000000001</v>
      </c>
      <c r="C616" s="40">
        <f t="shared" si="129"/>
        <v>10173</v>
      </c>
      <c r="D616">
        <v>204.74</v>
      </c>
      <c r="E616" s="20">
        <f t="shared" si="130"/>
        <v>-1.8302833915310041E-2</v>
      </c>
      <c r="F616" s="18">
        <f t="shared" si="131"/>
        <v>13.358541057235303</v>
      </c>
      <c r="G616" s="14">
        <f t="shared" si="132"/>
        <v>560.3349442184217</v>
      </c>
      <c r="H616" s="14">
        <f t="shared" si="133"/>
        <v>-1.5365065945686638</v>
      </c>
      <c r="I616" s="19">
        <f t="shared" si="134"/>
        <v>-2.7421216728002688E-3</v>
      </c>
      <c r="J616" s="14">
        <f t="shared" si="135"/>
        <v>240.0235442184217</v>
      </c>
      <c r="K616" s="14">
        <f t="shared" si="139"/>
        <v>8.4463089656484271</v>
      </c>
      <c r="L616" s="14">
        <f t="shared" si="139"/>
        <v>0.55810678769955502</v>
      </c>
      <c r="M616" s="20">
        <f t="shared" si="137"/>
        <v>1.5161175212527559E-2</v>
      </c>
    </row>
    <row r="617" spans="1:13" x14ac:dyDescent="0.25">
      <c r="A617" s="37">
        <v>43425</v>
      </c>
      <c r="B617">
        <v>2018.8879999999999</v>
      </c>
      <c r="C617" s="40">
        <f t="shared" si="129"/>
        <v>10186</v>
      </c>
      <c r="D617">
        <v>205.24</v>
      </c>
      <c r="E617" s="20">
        <f t="shared" si="130"/>
        <v>7.9577538762219142E-3</v>
      </c>
      <c r="F617" s="18">
        <f t="shared" si="131"/>
        <v>13.366498811111525</v>
      </c>
      <c r="G617" s="14">
        <f t="shared" si="132"/>
        <v>561.00273206777979</v>
      </c>
      <c r="H617" s="14">
        <f t="shared" si="133"/>
        <v>0.66778784935809199</v>
      </c>
      <c r="I617" s="19">
        <f t="shared" si="134"/>
        <v>1.1903468756679968E-3</v>
      </c>
      <c r="J617" s="14">
        <f t="shared" si="135"/>
        <v>240.6913320677798</v>
      </c>
      <c r="K617" s="14">
        <f t="shared" si="139"/>
        <v>9.1140968150065191</v>
      </c>
      <c r="L617" s="14">
        <f t="shared" si="139"/>
        <v>0.55929713457522301</v>
      </c>
      <c r="M617" s="20">
        <f t="shared" si="137"/>
        <v>1.6351522088195555E-2</v>
      </c>
    </row>
    <row r="618" spans="1:13" x14ac:dyDescent="0.25">
      <c r="A618" s="37">
        <v>43446</v>
      </c>
      <c r="B618">
        <v>2018.9449999999999</v>
      </c>
      <c r="C618" s="40">
        <f t="shared" si="129"/>
        <v>10207</v>
      </c>
      <c r="D618">
        <v>205.29</v>
      </c>
      <c r="E618" s="20">
        <f t="shared" si="130"/>
        <v>7.9577538762192E-4</v>
      </c>
      <c r="F618" s="18">
        <f t="shared" si="131"/>
        <v>13.367294586499147</v>
      </c>
      <c r="G618" s="14">
        <f t="shared" si="132"/>
        <v>561.0695327254632</v>
      </c>
      <c r="H618" s="14">
        <f t="shared" si="133"/>
        <v>6.680065768341592E-2</v>
      </c>
      <c r="I618" s="19">
        <f t="shared" si="134"/>
        <v>1.1905949937955754E-4</v>
      </c>
      <c r="J618" s="14">
        <f t="shared" si="135"/>
        <v>240.75813272546321</v>
      </c>
      <c r="K618" s="14">
        <f t="shared" si="139"/>
        <v>9.1808974726899351</v>
      </c>
      <c r="L618" s="14">
        <f t="shared" si="139"/>
        <v>0.55941619407460252</v>
      </c>
      <c r="M618" s="20">
        <f t="shared" si="137"/>
        <v>1.6470581587575112E-2</v>
      </c>
    </row>
    <row r="619" spans="1:13" x14ac:dyDescent="0.25">
      <c r="A619" s="37">
        <v>43504</v>
      </c>
      <c r="B619">
        <v>2019.107</v>
      </c>
      <c r="C619" s="40">
        <f t="shared" si="129"/>
        <v>10265</v>
      </c>
      <c r="D619">
        <v>205.69</v>
      </c>
      <c r="E619" s="20">
        <f>((D619-D618)/10)/(2*3.14159)</f>
        <v>6.3662031009776212E-3</v>
      </c>
      <c r="F619" s="18">
        <f>E619+F618</f>
        <v>13.373660789600125</v>
      </c>
      <c r="G619" s="14">
        <f>3.14*(F619^2)</f>
        <v>561.60408115400389</v>
      </c>
      <c r="H619" s="14">
        <f>G619-G618</f>
        <v>0.53454842854068829</v>
      </c>
      <c r="I619" s="19">
        <f>H619/G619</f>
        <v>9.5182433048256936E-4</v>
      </c>
      <c r="J619" s="14">
        <f>H619+J618</f>
        <v>241.2926811540039</v>
      </c>
      <c r="K619" s="14">
        <f>H619</f>
        <v>0.53454842854068829</v>
      </c>
      <c r="L619" s="14">
        <f>I619+L618</f>
        <v>0.5603680184050851</v>
      </c>
      <c r="M619" s="20">
        <f>I619</f>
        <v>9.5182433048256936E-4</v>
      </c>
    </row>
    <row r="620" spans="1:13" x14ac:dyDescent="0.25">
      <c r="A620" s="37">
        <v>43523</v>
      </c>
      <c r="B620">
        <v>2019.1579999999999</v>
      </c>
      <c r="C620" s="40">
        <f t="shared" si="129"/>
        <v>10284</v>
      </c>
      <c r="D620">
        <v>205.19</v>
      </c>
      <c r="E620" s="20">
        <f>((D620-D619)/10)/(2*3.14159)</f>
        <v>-7.9577538762219142E-3</v>
      </c>
      <c r="F620" s="18">
        <f>E620+F619</f>
        <v>13.365703035723904</v>
      </c>
      <c r="G620" s="14">
        <f>3.14*(F620^2)</f>
        <v>560.93593538695984</v>
      </c>
      <c r="H620" s="14">
        <f>G620-G619</f>
        <v>-0.66814576704405226</v>
      </c>
      <c r="I620" s="19">
        <f>H620/G620</f>
        <v>-1.1911266953919329E-3</v>
      </c>
      <c r="J620" s="14">
        <f>H620+J619</f>
        <v>240.62453538695985</v>
      </c>
      <c r="K620" s="14">
        <f>H620+K619</f>
        <v>-0.13359733850336397</v>
      </c>
      <c r="L620" s="14">
        <f>I620+L619</f>
        <v>0.5591768917096932</v>
      </c>
      <c r="M620" s="20">
        <f>I620+M619</f>
        <v>-2.3930236490936352E-4</v>
      </c>
    </row>
    <row r="621" spans="1:13" x14ac:dyDescent="0.25">
      <c r="A621" s="37">
        <v>43544</v>
      </c>
      <c r="B621">
        <v>2019.2159999999999</v>
      </c>
      <c r="C621" s="40">
        <f t="shared" si="129"/>
        <v>10305</v>
      </c>
      <c r="D621">
        <v>205.59</v>
      </c>
      <c r="E621" s="20">
        <f t="shared" ref="E621:E656" si="140">((D621-D620)/10)/(2*3.14159)</f>
        <v>6.3662031009776212E-3</v>
      </c>
      <c r="F621" s="18">
        <f t="shared" ref="F621:F656" si="141">E621+F620</f>
        <v>13.372069238824881</v>
      </c>
      <c r="G621" s="14">
        <f t="shared" ref="G621:G656" si="142">3.14*(F621^2)</f>
        <v>561.4704201856897</v>
      </c>
      <c r="H621" s="14">
        <f t="shared" ref="H621:H656" si="143">G621-G620</f>
        <v>0.53448479872986354</v>
      </c>
      <c r="I621" s="19">
        <f t="shared" ref="I621:I656" si="144">H621/G621</f>
        <v>9.5193759014606421E-4</v>
      </c>
      <c r="J621" s="14">
        <f t="shared" ref="J621:J656" si="145">H621+J620</f>
        <v>241.15902018568971</v>
      </c>
      <c r="K621" s="14">
        <f t="shared" ref="K621:L636" si="146">H621+K620</f>
        <v>0.40088746022649957</v>
      </c>
      <c r="L621" s="14">
        <f t="shared" si="146"/>
        <v>0.56012882929983931</v>
      </c>
      <c r="M621" s="20">
        <f t="shared" ref="M621:M656" si="147">I621+M620</f>
        <v>7.1263522523670069E-4</v>
      </c>
    </row>
    <row r="622" spans="1:13" x14ac:dyDescent="0.25">
      <c r="A622" s="37">
        <v>43560</v>
      </c>
      <c r="B622">
        <v>2019.26</v>
      </c>
      <c r="C622" s="40">
        <f t="shared" si="129"/>
        <v>10321</v>
      </c>
      <c r="D622">
        <v>205.49</v>
      </c>
      <c r="E622" s="20">
        <f t="shared" si="140"/>
        <v>-1.5915507752442921E-3</v>
      </c>
      <c r="F622" s="18">
        <f t="shared" si="141"/>
        <v>13.370477688049638</v>
      </c>
      <c r="G622" s="14">
        <f t="shared" si="142"/>
        <v>561.33677512482825</v>
      </c>
      <c r="H622" s="14">
        <f t="shared" si="143"/>
        <v>-0.13364506086145411</v>
      </c>
      <c r="I622" s="19">
        <f t="shared" si="144"/>
        <v>-2.3808356548835511E-4</v>
      </c>
      <c r="J622" s="14">
        <f t="shared" si="145"/>
        <v>241.02537512482826</v>
      </c>
      <c r="K622" s="14">
        <f t="shared" si="146"/>
        <v>0.26724239936504546</v>
      </c>
      <c r="L622" s="14">
        <f t="shared" si="146"/>
        <v>0.55989074573435094</v>
      </c>
      <c r="M622" s="20">
        <f t="shared" si="147"/>
        <v>4.7455165974834561E-4</v>
      </c>
    </row>
    <row r="623" spans="1:13" x14ac:dyDescent="0.25">
      <c r="A623" s="37">
        <v>43566</v>
      </c>
      <c r="B623">
        <v>2019.2760000000001</v>
      </c>
      <c r="C623" s="40">
        <f t="shared" si="129"/>
        <v>10327</v>
      </c>
      <c r="D623">
        <v>205.19</v>
      </c>
      <c r="E623" s="20">
        <f t="shared" si="140"/>
        <v>-4.7746523257333291E-3</v>
      </c>
      <c r="F623" s="18">
        <f t="shared" si="141"/>
        <v>13.365703035723904</v>
      </c>
      <c r="G623" s="14">
        <f t="shared" si="142"/>
        <v>560.93593538695984</v>
      </c>
      <c r="H623" s="14">
        <f t="shared" si="143"/>
        <v>-0.40083973786840943</v>
      </c>
      <c r="I623" s="19">
        <f t="shared" si="144"/>
        <v>-7.1459094092784668E-4</v>
      </c>
      <c r="J623" s="14">
        <f t="shared" si="145"/>
        <v>240.62453538695985</v>
      </c>
      <c r="K623" s="14">
        <f t="shared" si="146"/>
        <v>-0.13359733850336397</v>
      </c>
      <c r="L623" s="14">
        <f t="shared" si="146"/>
        <v>0.55917615479342309</v>
      </c>
      <c r="M623" s="20">
        <f t="shared" si="147"/>
        <v>-2.4003928117950107E-4</v>
      </c>
    </row>
    <row r="624" spans="1:13" x14ac:dyDescent="0.25">
      <c r="A624" s="37">
        <v>43572</v>
      </c>
      <c r="B624">
        <v>2019.2919999999999</v>
      </c>
      <c r="C624" s="40">
        <f t="shared" si="129"/>
        <v>10333</v>
      </c>
      <c r="D624">
        <v>205.29</v>
      </c>
      <c r="E624" s="20">
        <f t="shared" si="140"/>
        <v>1.5915507752442921E-3</v>
      </c>
      <c r="F624" s="18">
        <f t="shared" si="141"/>
        <v>13.367294586499147</v>
      </c>
      <c r="G624" s="14">
        <f t="shared" si="142"/>
        <v>561.0695327254632</v>
      </c>
      <c r="H624" s="14">
        <f t="shared" si="143"/>
        <v>0.13359733850336397</v>
      </c>
      <c r="I624" s="19">
        <f t="shared" si="144"/>
        <v>2.3811191075444557E-4</v>
      </c>
      <c r="J624" s="14">
        <f t="shared" si="145"/>
        <v>240.75813272546321</v>
      </c>
      <c r="K624" s="14">
        <f t="shared" si="146"/>
        <v>0</v>
      </c>
      <c r="L624" s="14">
        <f t="shared" si="146"/>
        <v>0.55941426670417749</v>
      </c>
      <c r="M624" s="20">
        <f t="shared" si="147"/>
        <v>-1.9273704250554944E-6</v>
      </c>
    </row>
    <row r="625" spans="1:13" x14ac:dyDescent="0.25">
      <c r="A625" s="37">
        <v>43580</v>
      </c>
      <c r="B625">
        <v>2019.3140000000001</v>
      </c>
      <c r="C625" s="40">
        <f t="shared" si="129"/>
        <v>10341</v>
      </c>
      <c r="D625">
        <v>206.19</v>
      </c>
      <c r="E625" s="20">
        <f t="shared" si="140"/>
        <v>1.4323956977199534E-2</v>
      </c>
      <c r="F625" s="18">
        <f t="shared" si="141"/>
        <v>13.381618543476346</v>
      </c>
      <c r="G625" s="14">
        <f t="shared" si="142"/>
        <v>562.2726246073654</v>
      </c>
      <c r="H625" s="14">
        <f t="shared" si="143"/>
        <v>1.2030918819021963</v>
      </c>
      <c r="I625" s="19">
        <f t="shared" si="144"/>
        <v>2.139694926001981E-3</v>
      </c>
      <c r="J625" s="14">
        <f t="shared" si="145"/>
        <v>241.96122460736541</v>
      </c>
      <c r="K625" s="14">
        <f t="shared" si="146"/>
        <v>1.2030918819021963</v>
      </c>
      <c r="L625" s="14">
        <f t="shared" si="146"/>
        <v>0.56155396163017945</v>
      </c>
      <c r="M625" s="20">
        <f t="shared" si="147"/>
        <v>2.1377675555769257E-3</v>
      </c>
    </row>
    <row r="626" spans="1:13" x14ac:dyDescent="0.25">
      <c r="A626" s="37">
        <v>43586</v>
      </c>
      <c r="B626">
        <v>2019.3309999999999</v>
      </c>
      <c r="C626" s="40">
        <f t="shared" si="129"/>
        <v>10347</v>
      </c>
      <c r="D626">
        <v>206.89</v>
      </c>
      <c r="E626" s="20">
        <f t="shared" si="140"/>
        <v>1.1140855426710498E-2</v>
      </c>
      <c r="F626" s="18">
        <f t="shared" si="141"/>
        <v>13.392759398903056</v>
      </c>
      <c r="G626" s="14">
        <f t="shared" si="142"/>
        <v>563.20925355508541</v>
      </c>
      <c r="H626" s="14">
        <f t="shared" si="143"/>
        <v>0.93662894772000982</v>
      </c>
      <c r="I626" s="19">
        <f t="shared" si="144"/>
        <v>1.6630212337738191E-3</v>
      </c>
      <c r="J626" s="14">
        <f t="shared" si="145"/>
        <v>242.89785355508542</v>
      </c>
      <c r="K626" s="14">
        <f t="shared" si="146"/>
        <v>2.1397208296222061</v>
      </c>
      <c r="L626" s="14">
        <f t="shared" si="146"/>
        <v>0.56321698286395327</v>
      </c>
      <c r="M626" s="20">
        <f t="shared" si="147"/>
        <v>3.8007887893507447E-3</v>
      </c>
    </row>
    <row r="627" spans="1:13" x14ac:dyDescent="0.25">
      <c r="A627" s="37">
        <v>43593</v>
      </c>
      <c r="B627">
        <v>2019.35</v>
      </c>
      <c r="C627" s="40">
        <f t="shared" si="129"/>
        <v>10354</v>
      </c>
      <c r="D627">
        <v>206.94</v>
      </c>
      <c r="E627" s="20">
        <f t="shared" si="140"/>
        <v>7.9577538762237233E-4</v>
      </c>
      <c r="F627" s="18">
        <f t="shared" si="141"/>
        <v>13.393555174290679</v>
      </c>
      <c r="G627" s="14">
        <f t="shared" si="142"/>
        <v>563.27618544925349</v>
      </c>
      <c r="H627" s="14">
        <f t="shared" si="143"/>
        <v>6.6931894168078543E-2</v>
      </c>
      <c r="I627" s="19">
        <f t="shared" si="144"/>
        <v>1.1882606773921307E-4</v>
      </c>
      <c r="J627" s="14">
        <f t="shared" si="145"/>
        <v>242.9647854492535</v>
      </c>
      <c r="K627" s="14">
        <f t="shared" si="146"/>
        <v>2.2066527237902847</v>
      </c>
      <c r="L627" s="14">
        <f t="shared" si="146"/>
        <v>0.56333580893169244</v>
      </c>
      <c r="M627" s="20">
        <f t="shared" si="147"/>
        <v>3.9196148570899581E-3</v>
      </c>
    </row>
    <row r="628" spans="1:13" x14ac:dyDescent="0.25">
      <c r="A628" s="37">
        <v>43600</v>
      </c>
      <c r="B628">
        <v>2019.3689999999999</v>
      </c>
      <c r="C628" s="40">
        <f t="shared" si="129"/>
        <v>10361</v>
      </c>
      <c r="D628">
        <v>208.79</v>
      </c>
      <c r="E628" s="20">
        <f t="shared" si="140"/>
        <v>2.944368934202099E-2</v>
      </c>
      <c r="F628" s="18">
        <f t="shared" si="141"/>
        <v>13.422998863632699</v>
      </c>
      <c r="G628" s="14">
        <f t="shared" si="142"/>
        <v>565.75546126828613</v>
      </c>
      <c r="H628" s="14">
        <f t="shared" si="143"/>
        <v>2.4792758190326367</v>
      </c>
      <c r="I628" s="19">
        <f t="shared" si="144"/>
        <v>4.382239304371368E-3</v>
      </c>
      <c r="J628" s="14">
        <f t="shared" si="145"/>
        <v>245.44406126828613</v>
      </c>
      <c r="K628" s="14">
        <f t="shared" si="146"/>
        <v>4.6859285428229214</v>
      </c>
      <c r="L628" s="14">
        <f t="shared" si="146"/>
        <v>0.56771804823606375</v>
      </c>
      <c r="M628" s="20">
        <f t="shared" si="147"/>
        <v>8.3018541614613261E-3</v>
      </c>
    </row>
    <row r="629" spans="1:13" x14ac:dyDescent="0.25">
      <c r="A629" s="37">
        <v>43607</v>
      </c>
      <c r="B629">
        <v>2019.3879999999999</v>
      </c>
      <c r="C629" s="40">
        <f t="shared" si="129"/>
        <v>10368</v>
      </c>
      <c r="D629">
        <v>208.89</v>
      </c>
      <c r="E629" s="20">
        <f t="shared" si="140"/>
        <v>1.5915507752442921E-3</v>
      </c>
      <c r="F629" s="18">
        <f t="shared" si="141"/>
        <v>13.424590414407943</v>
      </c>
      <c r="G629" s="14">
        <f t="shared" si="142"/>
        <v>565.8896312750868</v>
      </c>
      <c r="H629" s="14">
        <f t="shared" si="143"/>
        <v>0.13417000680067304</v>
      </c>
      <c r="I629" s="19">
        <f t="shared" si="144"/>
        <v>2.3709571511030414E-4</v>
      </c>
      <c r="J629" s="14">
        <f t="shared" si="145"/>
        <v>245.57823127508681</v>
      </c>
      <c r="K629" s="14">
        <f t="shared" si="146"/>
        <v>4.8200985496235944</v>
      </c>
      <c r="L629" s="14">
        <f t="shared" si="146"/>
        <v>0.56795514395117408</v>
      </c>
      <c r="M629" s="20">
        <f t="shared" si="147"/>
        <v>8.5389498765716301E-3</v>
      </c>
    </row>
    <row r="630" spans="1:13" x14ac:dyDescent="0.25">
      <c r="A630" s="37">
        <v>43615</v>
      </c>
      <c r="B630">
        <v>2019.41</v>
      </c>
      <c r="C630" s="40">
        <f t="shared" si="129"/>
        <v>10376</v>
      </c>
      <c r="D630">
        <v>209.44</v>
      </c>
      <c r="E630" s="20">
        <f t="shared" si="140"/>
        <v>8.7535292638442862E-3</v>
      </c>
      <c r="F630" s="18">
        <f t="shared" si="141"/>
        <v>13.433343943671787</v>
      </c>
      <c r="G630" s="14">
        <f t="shared" si="142"/>
        <v>566.6278506582081</v>
      </c>
      <c r="H630" s="14">
        <f t="shared" si="143"/>
        <v>0.73821938312130442</v>
      </c>
      <c r="I630" s="19">
        <f t="shared" si="144"/>
        <v>1.3028293301569479E-3</v>
      </c>
      <c r="J630" s="14">
        <f t="shared" si="145"/>
        <v>246.31645065820811</v>
      </c>
      <c r="K630" s="14">
        <f t="shared" si="146"/>
        <v>5.5583179327448988</v>
      </c>
      <c r="L630" s="14">
        <f t="shared" si="146"/>
        <v>0.56925797328133099</v>
      </c>
      <c r="M630" s="20">
        <f t="shared" si="147"/>
        <v>9.8417792067285771E-3</v>
      </c>
    </row>
    <row r="631" spans="1:13" x14ac:dyDescent="0.25">
      <c r="A631" s="37">
        <v>43620</v>
      </c>
      <c r="B631">
        <v>2019.423</v>
      </c>
      <c r="C631" s="40">
        <f t="shared" si="129"/>
        <v>10381</v>
      </c>
      <c r="D631">
        <v>209.79</v>
      </c>
      <c r="E631" s="20">
        <f t="shared" si="140"/>
        <v>5.5704277133552492E-3</v>
      </c>
      <c r="F631" s="18">
        <f t="shared" si="141"/>
        <v>13.438914371385142</v>
      </c>
      <c r="G631" s="14">
        <f t="shared" si="142"/>
        <v>567.09787717166546</v>
      </c>
      <c r="H631" s="14">
        <f t="shared" si="143"/>
        <v>0.47002651345735558</v>
      </c>
      <c r="I631" s="19">
        <f t="shared" si="144"/>
        <v>8.2882784855686288E-4</v>
      </c>
      <c r="J631" s="14">
        <f t="shared" si="145"/>
        <v>246.78647717166547</v>
      </c>
      <c r="K631" s="14">
        <f t="shared" si="146"/>
        <v>6.0283444462022544</v>
      </c>
      <c r="L631" s="14">
        <f t="shared" si="146"/>
        <v>0.57008680112988785</v>
      </c>
      <c r="M631" s="20">
        <f t="shared" si="147"/>
        <v>1.067060705528544E-2</v>
      </c>
    </row>
    <row r="632" spans="1:13" x14ac:dyDescent="0.25">
      <c r="A632" s="37">
        <v>43630</v>
      </c>
      <c r="B632">
        <v>2019.451</v>
      </c>
      <c r="C632" s="40">
        <f t="shared" si="129"/>
        <v>10391</v>
      </c>
      <c r="D632">
        <v>210.69</v>
      </c>
      <c r="E632" s="20">
        <f t="shared" si="140"/>
        <v>1.4323956977199534E-2</v>
      </c>
      <c r="F632" s="18">
        <f t="shared" si="141"/>
        <v>13.453238328362341</v>
      </c>
      <c r="G632" s="14">
        <f t="shared" si="142"/>
        <v>568.30741157191312</v>
      </c>
      <c r="H632" s="14">
        <f t="shared" si="143"/>
        <v>1.2095344002476622</v>
      </c>
      <c r="I632" s="19">
        <f t="shared" si="144"/>
        <v>2.1283100934794139E-3</v>
      </c>
      <c r="J632" s="14">
        <f t="shared" si="145"/>
        <v>247.99601157191313</v>
      </c>
      <c r="K632" s="14">
        <f t="shared" si="146"/>
        <v>7.2378788464499166</v>
      </c>
      <c r="L632" s="14">
        <f t="shared" si="146"/>
        <v>0.57221511122336732</v>
      </c>
      <c r="M632" s="20">
        <f t="shared" si="147"/>
        <v>1.2798917148764855E-2</v>
      </c>
    </row>
    <row r="633" spans="1:13" x14ac:dyDescent="0.25">
      <c r="A633" s="37">
        <v>43634</v>
      </c>
      <c r="B633">
        <v>2019.462</v>
      </c>
      <c r="C633" s="40">
        <f t="shared" si="129"/>
        <v>10395</v>
      </c>
      <c r="D633">
        <v>210.34</v>
      </c>
      <c r="E633" s="20">
        <f t="shared" si="140"/>
        <v>-5.5704277133552492E-3</v>
      </c>
      <c r="F633" s="18">
        <f t="shared" si="141"/>
        <v>13.447667900648986</v>
      </c>
      <c r="G633" s="14">
        <f t="shared" si="142"/>
        <v>567.83688397369565</v>
      </c>
      <c r="H633" s="14">
        <f t="shared" si="143"/>
        <v>-0.47052759821747259</v>
      </c>
      <c r="I633" s="19">
        <f t="shared" si="144"/>
        <v>-8.2863162203332538E-4</v>
      </c>
      <c r="J633" s="14">
        <f t="shared" si="145"/>
        <v>247.52548397369566</v>
      </c>
      <c r="K633" s="14">
        <f t="shared" si="146"/>
        <v>6.767351248232444</v>
      </c>
      <c r="L633" s="14">
        <f t="shared" si="146"/>
        <v>0.57138647960133404</v>
      </c>
      <c r="M633" s="20">
        <f t="shared" si="147"/>
        <v>1.1970285526731529E-2</v>
      </c>
    </row>
    <row r="634" spans="1:13" x14ac:dyDescent="0.25">
      <c r="A634" s="37">
        <v>43642</v>
      </c>
      <c r="B634">
        <v>2019.4839999999999</v>
      </c>
      <c r="C634" s="40">
        <f t="shared" si="129"/>
        <v>10403</v>
      </c>
      <c r="D634">
        <v>211.39</v>
      </c>
      <c r="E634" s="20">
        <f t="shared" si="140"/>
        <v>1.6711283140065748E-2</v>
      </c>
      <c r="F634" s="18">
        <f t="shared" si="141"/>
        <v>13.464379183789051</v>
      </c>
      <c r="G634" s="14">
        <f t="shared" si="142"/>
        <v>569.24905136723498</v>
      </c>
      <c r="H634" s="14">
        <f t="shared" si="143"/>
        <v>1.4121673935393346</v>
      </c>
      <c r="I634" s="19">
        <f t="shared" si="144"/>
        <v>2.4807549352037737E-3</v>
      </c>
      <c r="J634" s="14">
        <f t="shared" si="145"/>
        <v>248.93765136723499</v>
      </c>
      <c r="K634" s="14">
        <f t="shared" si="146"/>
        <v>8.1795186417717787</v>
      </c>
      <c r="L634" s="14">
        <f t="shared" si="146"/>
        <v>0.57386723453653776</v>
      </c>
      <c r="M634" s="20">
        <f t="shared" si="147"/>
        <v>1.4451040461935303E-2</v>
      </c>
    </row>
    <row r="635" spans="1:13" x14ac:dyDescent="0.25">
      <c r="A635" s="37">
        <v>43648</v>
      </c>
      <c r="B635">
        <v>2019.5</v>
      </c>
      <c r="C635" s="40">
        <f t="shared" si="129"/>
        <v>10409</v>
      </c>
      <c r="D635">
        <v>211.69</v>
      </c>
      <c r="E635" s="20">
        <f t="shared" si="140"/>
        <v>4.7746523257333291E-3</v>
      </c>
      <c r="F635" s="18">
        <f t="shared" si="141"/>
        <v>13.469153836114785</v>
      </c>
      <c r="G635" s="14">
        <f t="shared" si="142"/>
        <v>569.65284989130646</v>
      </c>
      <c r="H635" s="14">
        <f t="shared" si="143"/>
        <v>0.40379852407147609</v>
      </c>
      <c r="I635" s="19">
        <f t="shared" si="144"/>
        <v>7.0885017804883015E-4</v>
      </c>
      <c r="J635" s="14">
        <f t="shared" si="145"/>
        <v>249.34144989130647</v>
      </c>
      <c r="K635" s="14">
        <f t="shared" si="146"/>
        <v>8.5833171658432548</v>
      </c>
      <c r="L635" s="14">
        <f t="shared" si="146"/>
        <v>0.57457608471458654</v>
      </c>
      <c r="M635" s="20">
        <f t="shared" si="147"/>
        <v>1.5159890639984132E-2</v>
      </c>
    </row>
    <row r="636" spans="1:13" x14ac:dyDescent="0.25">
      <c r="A636" s="37">
        <v>43656</v>
      </c>
      <c r="B636">
        <v>2019.5219999999999</v>
      </c>
      <c r="C636" s="40">
        <f t="shared" si="129"/>
        <v>10417</v>
      </c>
      <c r="D636">
        <v>212.69</v>
      </c>
      <c r="E636" s="20">
        <f t="shared" si="140"/>
        <v>1.5915507752443828E-2</v>
      </c>
      <c r="F636" s="18">
        <f t="shared" si="141"/>
        <v>13.485069343867229</v>
      </c>
      <c r="G636" s="14">
        <f t="shared" si="142"/>
        <v>570.9998789559703</v>
      </c>
      <c r="H636" s="14">
        <f t="shared" si="143"/>
        <v>1.3470290646638432</v>
      </c>
      <c r="I636" s="19">
        <f t="shared" si="144"/>
        <v>2.3590706658761173E-3</v>
      </c>
      <c r="J636" s="14">
        <f t="shared" si="145"/>
        <v>250.68847895597031</v>
      </c>
      <c r="K636" s="14">
        <f t="shared" si="146"/>
        <v>9.930346230507098</v>
      </c>
      <c r="L636" s="14">
        <f t="shared" si="146"/>
        <v>0.57693515538046269</v>
      </c>
      <c r="M636" s="20">
        <f t="shared" si="147"/>
        <v>1.751896130586025E-2</v>
      </c>
    </row>
    <row r="637" spans="1:13" x14ac:dyDescent="0.25">
      <c r="A637" s="37">
        <v>43662</v>
      </c>
      <c r="B637">
        <v>2019.538</v>
      </c>
      <c r="C637" s="40">
        <f t="shared" si="129"/>
        <v>10423</v>
      </c>
      <c r="D637">
        <v>212.99</v>
      </c>
      <c r="E637" s="20">
        <f t="shared" si="140"/>
        <v>4.7746523257333291E-3</v>
      </c>
      <c r="F637" s="18">
        <f t="shared" si="141"/>
        <v>13.489843996192963</v>
      </c>
      <c r="G637" s="14">
        <f t="shared" si="142"/>
        <v>571.40429787069729</v>
      </c>
      <c r="H637" s="14">
        <f t="shared" si="143"/>
        <v>0.40441891472698899</v>
      </c>
      <c r="I637" s="19">
        <f t="shared" si="144"/>
        <v>7.0776316565001522E-4</v>
      </c>
      <c r="J637" s="14">
        <f t="shared" si="145"/>
        <v>251.0928978706973</v>
      </c>
      <c r="K637" s="14">
        <f t="shared" ref="K637:L652" si="148">H637+K636</f>
        <v>10.334765145234087</v>
      </c>
      <c r="L637" s="14">
        <f t="shared" si="148"/>
        <v>0.57764291854611272</v>
      </c>
      <c r="M637" s="20">
        <f t="shared" si="147"/>
        <v>1.8226724471510265E-2</v>
      </c>
    </row>
    <row r="638" spans="1:13" x14ac:dyDescent="0.25">
      <c r="A638" s="37">
        <v>43671</v>
      </c>
      <c r="B638">
        <v>2019.5630000000001</v>
      </c>
      <c r="C638" s="40">
        <f t="shared" si="129"/>
        <v>10432</v>
      </c>
      <c r="D638">
        <v>213.79</v>
      </c>
      <c r="E638" s="20">
        <f t="shared" si="140"/>
        <v>1.273240620195479E-2</v>
      </c>
      <c r="F638" s="18">
        <f t="shared" si="141"/>
        <v>13.502576402394919</v>
      </c>
      <c r="G638" s="14">
        <f t="shared" si="142"/>
        <v>572.48344823788807</v>
      </c>
      <c r="H638" s="14">
        <f t="shared" si="143"/>
        <v>1.0791503671907776</v>
      </c>
      <c r="I638" s="19">
        <f t="shared" si="144"/>
        <v>1.8850333062246905E-3</v>
      </c>
      <c r="J638" s="14">
        <f t="shared" si="145"/>
        <v>252.17204823788808</v>
      </c>
      <c r="K638" s="14">
        <f t="shared" si="148"/>
        <v>11.413915512424865</v>
      </c>
      <c r="L638" s="14">
        <f t="shared" si="148"/>
        <v>0.57952795185233741</v>
      </c>
      <c r="M638" s="20">
        <f t="shared" si="147"/>
        <v>2.0111757777734954E-2</v>
      </c>
    </row>
    <row r="639" spans="1:13" x14ac:dyDescent="0.25">
      <c r="A639" s="37">
        <v>43678</v>
      </c>
      <c r="B639">
        <v>2019.5820000000001</v>
      </c>
      <c r="C639" s="40">
        <f t="shared" si="129"/>
        <v>10439</v>
      </c>
      <c r="D639">
        <v>215.04</v>
      </c>
      <c r="E639" s="20">
        <f t="shared" si="140"/>
        <v>1.9894384690554785E-2</v>
      </c>
      <c r="F639" s="18">
        <f t="shared" si="141"/>
        <v>13.522470787085473</v>
      </c>
      <c r="G639" s="14">
        <f t="shared" si="142"/>
        <v>574.17165882900122</v>
      </c>
      <c r="H639" s="14">
        <f t="shared" si="143"/>
        <v>1.6882105911131475</v>
      </c>
      <c r="I639" s="19">
        <f t="shared" si="144"/>
        <v>2.9402541298471289E-3</v>
      </c>
      <c r="J639" s="14">
        <f t="shared" si="145"/>
        <v>253.86025882900122</v>
      </c>
      <c r="K639" s="14">
        <f t="shared" si="148"/>
        <v>13.102126103538012</v>
      </c>
      <c r="L639" s="14">
        <f t="shared" si="148"/>
        <v>0.58246820598218452</v>
      </c>
      <c r="M639" s="20">
        <f t="shared" si="147"/>
        <v>2.3052011907582083E-2</v>
      </c>
    </row>
    <row r="640" spans="1:13" x14ac:dyDescent="0.25">
      <c r="A640" s="37">
        <v>43685</v>
      </c>
      <c r="B640">
        <v>2019.6010000000001</v>
      </c>
      <c r="C640" s="40">
        <f t="shared" si="129"/>
        <v>10446</v>
      </c>
      <c r="D640">
        <v>216.14</v>
      </c>
      <c r="E640" s="20">
        <f t="shared" si="140"/>
        <v>1.7507058527688118E-2</v>
      </c>
      <c r="F640" s="18">
        <f t="shared" si="141"/>
        <v>13.53997784561316</v>
      </c>
      <c r="G640" s="14">
        <f t="shared" si="142"/>
        <v>575.65934018744292</v>
      </c>
      <c r="H640" s="14">
        <f t="shared" si="143"/>
        <v>1.487681358441705</v>
      </c>
      <c r="I640" s="19">
        <f t="shared" si="144"/>
        <v>2.5843085564412013E-3</v>
      </c>
      <c r="J640" s="14">
        <f t="shared" si="145"/>
        <v>255.34794018744293</v>
      </c>
      <c r="K640" s="14">
        <f t="shared" si="148"/>
        <v>14.589807461979717</v>
      </c>
      <c r="L640" s="14">
        <f t="shared" si="148"/>
        <v>0.58505251453862572</v>
      </c>
      <c r="M640" s="20">
        <f t="shared" si="147"/>
        <v>2.5636320464023286E-2</v>
      </c>
    </row>
    <row r="641" spans="1:13" x14ac:dyDescent="0.25">
      <c r="A641" s="37">
        <v>43691</v>
      </c>
      <c r="B641">
        <v>2019.617</v>
      </c>
      <c r="C641" s="40">
        <f t="shared" si="129"/>
        <v>10452</v>
      </c>
      <c r="D641">
        <v>216.04</v>
      </c>
      <c r="E641" s="20">
        <f t="shared" si="140"/>
        <v>-1.5915507752442921E-3</v>
      </c>
      <c r="F641" s="18">
        <f t="shared" si="141"/>
        <v>13.538386294837917</v>
      </c>
      <c r="G641" s="14">
        <f t="shared" si="142"/>
        <v>575.52401689032115</v>
      </c>
      <c r="H641" s="14">
        <f t="shared" si="143"/>
        <v>-0.13532329712177216</v>
      </c>
      <c r="I641" s="19">
        <f t="shared" si="144"/>
        <v>-2.3513058213096432E-4</v>
      </c>
      <c r="J641" s="14">
        <f t="shared" si="145"/>
        <v>255.21261689032116</v>
      </c>
      <c r="K641" s="14">
        <f t="shared" si="148"/>
        <v>14.454484164857945</v>
      </c>
      <c r="L641" s="14">
        <f t="shared" si="148"/>
        <v>0.58481738395649474</v>
      </c>
      <c r="M641" s="20">
        <f t="shared" si="147"/>
        <v>2.5401189881892321E-2</v>
      </c>
    </row>
    <row r="642" spans="1:13" x14ac:dyDescent="0.25">
      <c r="A642" s="37">
        <v>43698</v>
      </c>
      <c r="B642">
        <v>2019.6369999999999</v>
      </c>
      <c r="C642" s="40">
        <f t="shared" si="129"/>
        <v>10459</v>
      </c>
      <c r="D642">
        <v>215.99</v>
      </c>
      <c r="E642" s="20">
        <f t="shared" si="140"/>
        <v>-7.9577538762192E-4</v>
      </c>
      <c r="F642" s="18">
        <f t="shared" si="141"/>
        <v>13.537590519450294</v>
      </c>
      <c r="G642" s="14">
        <f t="shared" si="142"/>
        <v>575.4563612070549</v>
      </c>
      <c r="H642" s="14">
        <f t="shared" si="143"/>
        <v>-6.7655683266252709E-2</v>
      </c>
      <c r="I642" s="19">
        <f t="shared" si="144"/>
        <v>-1.1756874687133665E-4</v>
      </c>
      <c r="J642" s="14">
        <f t="shared" si="145"/>
        <v>255.14496120705491</v>
      </c>
      <c r="K642" s="14">
        <f t="shared" si="148"/>
        <v>14.386828481591692</v>
      </c>
      <c r="L642" s="14">
        <f t="shared" si="148"/>
        <v>0.58469981520962344</v>
      </c>
      <c r="M642" s="20">
        <f t="shared" si="147"/>
        <v>2.5283621135020983E-2</v>
      </c>
    </row>
    <row r="643" spans="1:13" x14ac:dyDescent="0.25">
      <c r="A643" s="37">
        <v>43705</v>
      </c>
      <c r="B643">
        <v>2019.6559999999999</v>
      </c>
      <c r="C643" s="40">
        <f t="shared" si="129"/>
        <v>10466</v>
      </c>
      <c r="D643">
        <v>215.79</v>
      </c>
      <c r="E643" s="20">
        <f t="shared" si="140"/>
        <v>-3.1831015504890365E-3</v>
      </c>
      <c r="F643" s="18">
        <f t="shared" si="141"/>
        <v>13.534407417899805</v>
      </c>
      <c r="G643" s="14">
        <f t="shared" si="142"/>
        <v>575.18577824262206</v>
      </c>
      <c r="H643" s="14">
        <f t="shared" si="143"/>
        <v>-0.27058296443283325</v>
      </c>
      <c r="I643" s="19">
        <f t="shared" si="144"/>
        <v>-4.704270770733439E-4</v>
      </c>
      <c r="J643" s="14">
        <f t="shared" si="145"/>
        <v>254.87437824262207</v>
      </c>
      <c r="K643" s="14">
        <f t="shared" si="148"/>
        <v>14.116245517158859</v>
      </c>
      <c r="L643" s="14">
        <f t="shared" si="148"/>
        <v>0.5842293881325501</v>
      </c>
      <c r="M643" s="20">
        <f t="shared" si="147"/>
        <v>2.481319405794764E-2</v>
      </c>
    </row>
    <row r="644" spans="1:13" x14ac:dyDescent="0.25">
      <c r="A644" s="37">
        <v>43711</v>
      </c>
      <c r="B644">
        <v>2019.672</v>
      </c>
      <c r="C644" s="40">
        <f t="shared" si="129"/>
        <v>10472</v>
      </c>
      <c r="D644">
        <v>215.49</v>
      </c>
      <c r="E644" s="20">
        <f t="shared" si="140"/>
        <v>-4.7746523257328763E-3</v>
      </c>
      <c r="F644" s="18">
        <f t="shared" si="141"/>
        <v>13.529632765574073</v>
      </c>
      <c r="G644" s="14">
        <f t="shared" si="142"/>
        <v>574.78002310186798</v>
      </c>
      <c r="H644" s="14">
        <f t="shared" si="143"/>
        <v>-0.40575514075408137</v>
      </c>
      <c r="I644" s="19">
        <f t="shared" si="144"/>
        <v>-7.0593118140114901E-4</v>
      </c>
      <c r="J644" s="14">
        <f t="shared" si="145"/>
        <v>254.46862310186799</v>
      </c>
      <c r="K644" s="14">
        <f t="shared" si="148"/>
        <v>13.710490376404778</v>
      </c>
      <c r="L644" s="14">
        <f t="shared" si="148"/>
        <v>0.58352345695114893</v>
      </c>
      <c r="M644" s="20">
        <f t="shared" si="147"/>
        <v>2.4107262876546492E-2</v>
      </c>
    </row>
    <row r="645" spans="1:13" x14ac:dyDescent="0.25">
      <c r="A645" s="37">
        <v>43718</v>
      </c>
      <c r="B645">
        <v>2019.691</v>
      </c>
      <c r="C645" s="40">
        <f t="shared" ref="C645:C708" si="149">A645-33239</f>
        <v>10479</v>
      </c>
      <c r="D645">
        <v>212.14</v>
      </c>
      <c r="E645" s="20">
        <f t="shared" si="140"/>
        <v>-5.3316950970687185E-2</v>
      </c>
      <c r="F645" s="18">
        <f t="shared" si="141"/>
        <v>13.476315814603385</v>
      </c>
      <c r="G645" s="14">
        <f t="shared" si="142"/>
        <v>570.25881611567809</v>
      </c>
      <c r="H645" s="14">
        <f t="shared" si="143"/>
        <v>-4.5212069861898954</v>
      </c>
      <c r="I645" s="19">
        <f t="shared" si="144"/>
        <v>-7.9283421113699355E-3</v>
      </c>
      <c r="J645" s="14">
        <f t="shared" si="145"/>
        <v>249.9474161156781</v>
      </c>
      <c r="K645" s="14">
        <f t="shared" si="148"/>
        <v>9.1892833902148823</v>
      </c>
      <c r="L645" s="14">
        <f t="shared" si="148"/>
        <v>0.57559511483977899</v>
      </c>
      <c r="M645" s="20">
        <f t="shared" si="147"/>
        <v>1.6178920765176557E-2</v>
      </c>
    </row>
    <row r="646" spans="1:13" x14ac:dyDescent="0.25">
      <c r="A646" s="37">
        <v>43726</v>
      </c>
      <c r="B646">
        <v>2019.713</v>
      </c>
      <c r="C646" s="40">
        <f t="shared" si="149"/>
        <v>10487</v>
      </c>
      <c r="D646">
        <v>211.99</v>
      </c>
      <c r="E646" s="20">
        <f t="shared" si="140"/>
        <v>-2.3873261628662122E-3</v>
      </c>
      <c r="F646" s="18">
        <f t="shared" si="141"/>
        <v>13.473928488440519</v>
      </c>
      <c r="G646" s="14">
        <f t="shared" si="142"/>
        <v>570.05679158245232</v>
      </c>
      <c r="H646" s="14">
        <f t="shared" si="143"/>
        <v>-0.2020245332257673</v>
      </c>
      <c r="I646" s="19">
        <f t="shared" si="144"/>
        <v>-3.5439369587187298E-4</v>
      </c>
      <c r="J646" s="14">
        <f t="shared" si="145"/>
        <v>249.74539158245233</v>
      </c>
      <c r="K646" s="14">
        <f t="shared" si="148"/>
        <v>8.987258856989115</v>
      </c>
      <c r="L646" s="14">
        <f t="shared" si="148"/>
        <v>0.57524072114390712</v>
      </c>
      <c r="M646" s="20">
        <f t="shared" si="147"/>
        <v>1.5824527069304685E-2</v>
      </c>
    </row>
    <row r="647" spans="1:13" x14ac:dyDescent="0.25">
      <c r="A647" s="37">
        <v>43733</v>
      </c>
      <c r="B647">
        <v>2019.732</v>
      </c>
      <c r="C647" s="40">
        <f t="shared" si="149"/>
        <v>10494</v>
      </c>
      <c r="D647">
        <v>211.99</v>
      </c>
      <c r="E647" s="20">
        <f t="shared" si="140"/>
        <v>0</v>
      </c>
      <c r="F647" s="18">
        <f t="shared" si="141"/>
        <v>13.473928488440519</v>
      </c>
      <c r="G647" s="14">
        <f t="shared" si="142"/>
        <v>570.05679158245232</v>
      </c>
      <c r="H647" s="14">
        <f t="shared" si="143"/>
        <v>0</v>
      </c>
      <c r="I647" s="19">
        <f t="shared" si="144"/>
        <v>0</v>
      </c>
      <c r="J647" s="14">
        <f t="shared" si="145"/>
        <v>249.74539158245233</v>
      </c>
      <c r="K647" s="14">
        <f t="shared" si="148"/>
        <v>8.987258856989115</v>
      </c>
      <c r="L647" s="14">
        <f t="shared" si="148"/>
        <v>0.57524072114390712</v>
      </c>
      <c r="M647" s="20">
        <f t="shared" si="147"/>
        <v>1.5824527069304685E-2</v>
      </c>
    </row>
    <row r="648" spans="1:13" x14ac:dyDescent="0.25">
      <c r="A648" s="37">
        <v>43740</v>
      </c>
      <c r="B648">
        <v>2019.751</v>
      </c>
      <c r="C648" s="40">
        <f t="shared" si="149"/>
        <v>10501</v>
      </c>
      <c r="D648">
        <v>211.79</v>
      </c>
      <c r="E648" s="20">
        <f t="shared" si="140"/>
        <v>-3.1831015504890365E-3</v>
      </c>
      <c r="F648" s="18">
        <f t="shared" si="141"/>
        <v>13.47074538689003</v>
      </c>
      <c r="G648" s="14">
        <f t="shared" si="142"/>
        <v>569.78748121423587</v>
      </c>
      <c r="H648" s="14">
        <f t="shared" si="143"/>
        <v>-0.26931036821645193</v>
      </c>
      <c r="I648" s="19">
        <f t="shared" si="144"/>
        <v>-4.7265055322476143E-4</v>
      </c>
      <c r="J648" s="14">
        <f t="shared" si="145"/>
        <v>249.47608121423588</v>
      </c>
      <c r="K648" s="14">
        <f t="shared" si="148"/>
        <v>8.717948488772663</v>
      </c>
      <c r="L648" s="14">
        <f t="shared" si="148"/>
        <v>0.57476807059068236</v>
      </c>
      <c r="M648" s="20">
        <f t="shared" si="147"/>
        <v>1.5351876516079924E-2</v>
      </c>
    </row>
    <row r="649" spans="1:13" x14ac:dyDescent="0.25">
      <c r="A649" s="37">
        <v>43747</v>
      </c>
      <c r="B649">
        <v>2019.77</v>
      </c>
      <c r="C649" s="40">
        <f t="shared" si="149"/>
        <v>10508</v>
      </c>
      <c r="D649">
        <v>213.14</v>
      </c>
      <c r="E649" s="20">
        <f t="shared" si="140"/>
        <v>2.1485935465799074E-2</v>
      </c>
      <c r="F649" s="18">
        <f t="shared" si="141"/>
        <v>13.492231322355829</v>
      </c>
      <c r="G649" s="14">
        <f t="shared" si="142"/>
        <v>571.60656101571362</v>
      </c>
      <c r="H649" s="14">
        <f t="shared" si="143"/>
        <v>1.8190798014777556</v>
      </c>
      <c r="I649" s="19">
        <f t="shared" si="144"/>
        <v>3.1823983934777624E-3</v>
      </c>
      <c r="J649" s="14">
        <f t="shared" si="145"/>
        <v>251.29516101571363</v>
      </c>
      <c r="K649" s="14">
        <f t="shared" si="148"/>
        <v>10.537028290250419</v>
      </c>
      <c r="L649" s="14">
        <f t="shared" si="148"/>
        <v>0.57795046898416014</v>
      </c>
      <c r="M649" s="20">
        <f t="shared" si="147"/>
        <v>1.8534274909557686E-2</v>
      </c>
    </row>
    <row r="650" spans="1:13" x14ac:dyDescent="0.25">
      <c r="A650" s="37">
        <v>43761</v>
      </c>
      <c r="B650">
        <v>2019.809</v>
      </c>
      <c r="C650" s="40">
        <f t="shared" si="149"/>
        <v>10522</v>
      </c>
      <c r="D650">
        <v>212.99</v>
      </c>
      <c r="E650" s="20">
        <f t="shared" si="140"/>
        <v>-2.3873261628662122E-3</v>
      </c>
      <c r="F650" s="18">
        <f t="shared" si="141"/>
        <v>13.489843996192963</v>
      </c>
      <c r="G650" s="14">
        <f t="shared" si="142"/>
        <v>571.40429787069729</v>
      </c>
      <c r="H650" s="14">
        <f t="shared" si="143"/>
        <v>-0.20226314501633169</v>
      </c>
      <c r="I650" s="19">
        <f t="shared" si="144"/>
        <v>-3.5397554020866271E-4</v>
      </c>
      <c r="J650" s="14">
        <f t="shared" si="145"/>
        <v>251.0928978706973</v>
      </c>
      <c r="K650" s="14">
        <f t="shared" si="148"/>
        <v>10.334765145234087</v>
      </c>
      <c r="L650" s="14">
        <f t="shared" si="148"/>
        <v>0.57759649344395148</v>
      </c>
      <c r="M650" s="20">
        <f t="shared" si="147"/>
        <v>1.8180299369349024E-2</v>
      </c>
    </row>
    <row r="651" spans="1:13" x14ac:dyDescent="0.25">
      <c r="A651" s="37">
        <v>43767</v>
      </c>
      <c r="B651">
        <v>2019.825</v>
      </c>
      <c r="C651" s="40">
        <f t="shared" si="149"/>
        <v>10528</v>
      </c>
      <c r="D651">
        <v>213.09</v>
      </c>
      <c r="E651" s="20">
        <f t="shared" si="140"/>
        <v>1.5915507752442921E-3</v>
      </c>
      <c r="F651" s="18">
        <f t="shared" si="141"/>
        <v>13.491435546968207</v>
      </c>
      <c r="G651" s="14">
        <f t="shared" si="142"/>
        <v>571.53913599051157</v>
      </c>
      <c r="H651" s="14">
        <f t="shared" si="143"/>
        <v>0.13483811981427607</v>
      </c>
      <c r="I651" s="19">
        <f t="shared" si="144"/>
        <v>2.3592106178449798E-4</v>
      </c>
      <c r="J651" s="14">
        <f t="shared" si="145"/>
        <v>251.22773599051158</v>
      </c>
      <c r="K651" s="14">
        <f t="shared" si="148"/>
        <v>10.469603265048363</v>
      </c>
      <c r="L651" s="14">
        <f t="shared" si="148"/>
        <v>0.57783241450573597</v>
      </c>
      <c r="M651" s="20">
        <f t="shared" si="147"/>
        <v>1.8416220431133522E-2</v>
      </c>
    </row>
    <row r="652" spans="1:13" x14ac:dyDescent="0.25">
      <c r="A652" s="37">
        <v>43775</v>
      </c>
      <c r="B652">
        <v>2019.847</v>
      </c>
      <c r="C652" s="40">
        <f t="shared" si="149"/>
        <v>10536</v>
      </c>
      <c r="D652">
        <v>212.79</v>
      </c>
      <c r="E652" s="20">
        <f t="shared" si="140"/>
        <v>-4.7746523257333291E-3</v>
      </c>
      <c r="F652" s="18">
        <f t="shared" si="141"/>
        <v>13.486660894642473</v>
      </c>
      <c r="G652" s="14">
        <f t="shared" si="142"/>
        <v>571.13466935342649</v>
      </c>
      <c r="H652" s="14">
        <f t="shared" si="143"/>
        <v>-0.40446663708507913</v>
      </c>
      <c r="I652" s="19">
        <f t="shared" si="144"/>
        <v>-7.0818085258765693E-4</v>
      </c>
      <c r="J652" s="14">
        <f t="shared" si="145"/>
        <v>250.8232693534265</v>
      </c>
      <c r="K652" s="14">
        <f t="shared" si="148"/>
        <v>10.065136627963284</v>
      </c>
      <c r="L652" s="14">
        <f t="shared" si="148"/>
        <v>0.57712423365314836</v>
      </c>
      <c r="M652" s="20">
        <f t="shared" si="147"/>
        <v>1.7708039578545866E-2</v>
      </c>
    </row>
    <row r="653" spans="1:13" x14ac:dyDescent="0.25">
      <c r="A653" s="37">
        <v>43782</v>
      </c>
      <c r="B653">
        <v>2019.866</v>
      </c>
      <c r="C653" s="40">
        <f t="shared" si="149"/>
        <v>10543</v>
      </c>
      <c r="D653">
        <v>212.49</v>
      </c>
      <c r="E653" s="20">
        <f t="shared" si="140"/>
        <v>-4.7746523257328763E-3</v>
      </c>
      <c r="F653" s="18">
        <f t="shared" si="141"/>
        <v>13.48188624231674</v>
      </c>
      <c r="G653" s="14">
        <f t="shared" si="142"/>
        <v>570.73034588341591</v>
      </c>
      <c r="H653" s="14">
        <f t="shared" si="143"/>
        <v>-0.40432347001058133</v>
      </c>
      <c r="I653" s="19">
        <f t="shared" si="144"/>
        <v>-7.0843170146269601E-4</v>
      </c>
      <c r="J653" s="14">
        <f t="shared" si="145"/>
        <v>250.41894588341592</v>
      </c>
      <c r="K653" s="14">
        <f t="shared" ref="K653:L656" si="150">H653+K652</f>
        <v>9.6608131579527026</v>
      </c>
      <c r="L653" s="14">
        <f t="shared" si="150"/>
        <v>0.57641580195168562</v>
      </c>
      <c r="M653" s="20">
        <f t="shared" si="147"/>
        <v>1.699960787708317E-2</v>
      </c>
    </row>
    <row r="654" spans="1:13" x14ac:dyDescent="0.25">
      <c r="A654" s="37">
        <v>43789</v>
      </c>
      <c r="B654">
        <v>2019.885</v>
      </c>
      <c r="C654" s="40">
        <f t="shared" si="149"/>
        <v>10550</v>
      </c>
      <c r="D654">
        <v>212.64</v>
      </c>
      <c r="E654" s="20">
        <f t="shared" si="140"/>
        <v>2.3873261628662122E-3</v>
      </c>
      <c r="F654" s="18">
        <f t="shared" si="141"/>
        <v>13.484273568479606</v>
      </c>
      <c r="G654" s="14">
        <f t="shared" si="142"/>
        <v>570.93248972253696</v>
      </c>
      <c r="H654" s="14">
        <f t="shared" si="143"/>
        <v>0.2021438391210495</v>
      </c>
      <c r="I654" s="19">
        <f t="shared" si="144"/>
        <v>3.5405909237935963E-4</v>
      </c>
      <c r="J654" s="14">
        <f t="shared" si="145"/>
        <v>250.62108972253696</v>
      </c>
      <c r="K654" s="14">
        <f t="shared" si="150"/>
        <v>9.8629569970737521</v>
      </c>
      <c r="L654" s="14">
        <f t="shared" si="150"/>
        <v>0.57676986104406502</v>
      </c>
      <c r="M654" s="20">
        <f t="shared" si="147"/>
        <v>1.7353666969462528E-2</v>
      </c>
    </row>
    <row r="655" spans="1:13" x14ac:dyDescent="0.25">
      <c r="A655" s="37">
        <v>43795</v>
      </c>
      <c r="B655">
        <v>2019.902</v>
      </c>
      <c r="C655" s="40">
        <f t="shared" si="149"/>
        <v>10556</v>
      </c>
      <c r="D655">
        <v>213.34</v>
      </c>
      <c r="E655" s="20">
        <f t="shared" si="140"/>
        <v>1.1140855426710949E-2</v>
      </c>
      <c r="F655" s="18">
        <f t="shared" si="141"/>
        <v>13.495414423906318</v>
      </c>
      <c r="G655" s="14">
        <f t="shared" si="142"/>
        <v>571.87630088515311</v>
      </c>
      <c r="H655" s="14">
        <f t="shared" si="143"/>
        <v>0.94381116261615716</v>
      </c>
      <c r="I655" s="19">
        <f t="shared" si="144"/>
        <v>1.6503764208366763E-3</v>
      </c>
      <c r="J655" s="14">
        <f t="shared" si="145"/>
        <v>251.56490088515312</v>
      </c>
      <c r="K655" s="14">
        <f t="shared" si="150"/>
        <v>10.806768159689909</v>
      </c>
      <c r="L655" s="14">
        <f t="shared" si="150"/>
        <v>0.57842023746490168</v>
      </c>
      <c r="M655" s="20">
        <f t="shared" si="147"/>
        <v>1.9004043390299204E-2</v>
      </c>
    </row>
    <row r="656" spans="1:13" x14ac:dyDescent="0.25">
      <c r="A656" s="37">
        <v>43822</v>
      </c>
      <c r="B656">
        <v>2019.9749999999999</v>
      </c>
      <c r="C656" s="40">
        <f t="shared" si="149"/>
        <v>10583</v>
      </c>
      <c r="D656">
        <v>213.99</v>
      </c>
      <c r="E656" s="20">
        <f t="shared" si="140"/>
        <v>1.0345080039088579E-2</v>
      </c>
      <c r="F656" s="18">
        <f t="shared" si="141"/>
        <v>13.505759503945407</v>
      </c>
      <c r="G656" s="14">
        <f t="shared" si="142"/>
        <v>572.75339490421277</v>
      </c>
      <c r="H656" s="14">
        <f t="shared" si="143"/>
        <v>0.87709401905965478</v>
      </c>
      <c r="I656" s="19">
        <f t="shared" si="144"/>
        <v>1.5313641557835548E-3</v>
      </c>
      <c r="J656" s="14">
        <f t="shared" si="145"/>
        <v>252.44199490421278</v>
      </c>
      <c r="K656" s="14">
        <f t="shared" si="150"/>
        <v>11.683862178749564</v>
      </c>
      <c r="L656" s="14">
        <f t="shared" si="150"/>
        <v>0.57995160162068526</v>
      </c>
      <c r="M656" s="20">
        <f t="shared" si="147"/>
        <v>2.0535407546082761E-2</v>
      </c>
    </row>
    <row r="657" spans="1:13" x14ac:dyDescent="0.25">
      <c r="A657" s="37">
        <v>43854</v>
      </c>
      <c r="B657">
        <v>2020.066</v>
      </c>
      <c r="C657" s="40">
        <f t="shared" si="149"/>
        <v>10615</v>
      </c>
      <c r="D657">
        <v>213.74</v>
      </c>
      <c r="E657" s="20">
        <f>((D657-D656)/10)/(2*3.14159)</f>
        <v>-3.9788769381109571E-3</v>
      </c>
      <c r="F657" s="18">
        <f>E657+F656</f>
        <v>13.501780627007296</v>
      </c>
      <c r="G657" s="14">
        <f>3.14*(F657^2)</f>
        <v>572.41597151346468</v>
      </c>
      <c r="H657" s="14">
        <f>G657-G656</f>
        <v>-0.33742339074808569</v>
      </c>
      <c r="I657" s="19">
        <f>H657/G657</f>
        <v>-5.8947235496581288E-4</v>
      </c>
      <c r="J657" s="14">
        <f>H657+J656</f>
        <v>252.10457151346469</v>
      </c>
      <c r="K657" s="14">
        <f>H657</f>
        <v>-0.33742339074808569</v>
      </c>
      <c r="L657" s="14">
        <f>I657+L656</f>
        <v>0.57936212926571951</v>
      </c>
      <c r="M657" s="20">
        <f>I657</f>
        <v>-5.8947235496581288E-4</v>
      </c>
    </row>
    <row r="658" spans="1:13" x14ac:dyDescent="0.25">
      <c r="A658" s="37">
        <v>43886</v>
      </c>
      <c r="B658">
        <v>2020.153</v>
      </c>
      <c r="C658" s="40">
        <f t="shared" si="149"/>
        <v>10647</v>
      </c>
      <c r="D658">
        <v>213.79</v>
      </c>
      <c r="E658" s="20">
        <f>((D658-D657)/10)/(2*3.14159)</f>
        <v>7.9577538762192E-4</v>
      </c>
      <c r="F658" s="18">
        <f>E658+F657</f>
        <v>13.502576402394919</v>
      </c>
      <c r="G658" s="14">
        <f>3.14*(F658^2)</f>
        <v>572.48344823788807</v>
      </c>
      <c r="H658" s="14">
        <f>G658-G657</f>
        <v>6.7476724423386258E-2</v>
      </c>
      <c r="I658" s="19">
        <f>H658/G658</f>
        <v>1.178666817898064E-4</v>
      </c>
      <c r="J658" s="14">
        <f>H658+J657</f>
        <v>252.17204823788808</v>
      </c>
      <c r="K658" s="14">
        <f>H658+K657</f>
        <v>-0.26994666632469944</v>
      </c>
      <c r="L658" s="14">
        <f>I658+L657</f>
        <v>0.57947999594750932</v>
      </c>
      <c r="M658" s="20">
        <f>I658+M657</f>
        <v>-4.7160567317600647E-4</v>
      </c>
    </row>
    <row r="659" spans="1:13" x14ac:dyDescent="0.25">
      <c r="A659" s="37">
        <v>43894</v>
      </c>
      <c r="B659">
        <v>2020.175</v>
      </c>
      <c r="C659" s="40">
        <f t="shared" si="149"/>
        <v>10655</v>
      </c>
      <c r="D659">
        <v>213.59</v>
      </c>
      <c r="E659" s="20">
        <f t="shared" ref="E659:E698" si="151">((D659-D658)/10)/(2*3.14159)</f>
        <v>-3.1831015504885842E-3</v>
      </c>
      <c r="F659" s="18">
        <f t="shared" ref="F659:F698" si="152">E659+F658</f>
        <v>13.49939330084443</v>
      </c>
      <c r="G659" s="14">
        <f t="shared" ref="G659:G698" si="153">3.14*(F659^2)</f>
        <v>572.21356520137408</v>
      </c>
      <c r="H659" s="14">
        <f t="shared" ref="H659:H698" si="154">G659-G658</f>
        <v>-0.26988303651398837</v>
      </c>
      <c r="I659" s="19">
        <f t="shared" ref="I659:I698" si="155">H659/G659</f>
        <v>-4.7164739343257412E-4</v>
      </c>
      <c r="J659" s="14">
        <f t="shared" ref="J659:J698" si="156">H659+J658</f>
        <v>251.90216520137409</v>
      </c>
      <c r="K659" s="14">
        <f t="shared" ref="K659:L674" si="157">H659+K658</f>
        <v>-0.53982970283868781</v>
      </c>
      <c r="L659" s="14">
        <f t="shared" si="157"/>
        <v>0.57900834855407679</v>
      </c>
      <c r="M659" s="20">
        <f t="shared" ref="M659:M698" si="158">I659+M658</f>
        <v>-9.4325306660858065E-4</v>
      </c>
    </row>
    <row r="660" spans="1:13" x14ac:dyDescent="0.25">
      <c r="A660" s="37">
        <v>43901</v>
      </c>
      <c r="B660">
        <v>2020.194</v>
      </c>
      <c r="C660" s="40">
        <f t="shared" si="149"/>
        <v>10662</v>
      </c>
      <c r="D660">
        <v>213.24</v>
      </c>
      <c r="E660" s="20">
        <f t="shared" si="151"/>
        <v>-5.5704277133552492E-3</v>
      </c>
      <c r="F660" s="18">
        <f t="shared" si="152"/>
        <v>13.493822873131075</v>
      </c>
      <c r="G660" s="14">
        <f t="shared" si="153"/>
        <v>571.74142299670712</v>
      </c>
      <c r="H660" s="14">
        <f t="shared" si="154"/>
        <v>-0.47214220466696588</v>
      </c>
      <c r="I660" s="19">
        <f t="shared" si="155"/>
        <v>-8.2579674250694466E-4</v>
      </c>
      <c r="J660" s="14">
        <f t="shared" si="156"/>
        <v>251.43002299670712</v>
      </c>
      <c r="K660" s="14">
        <f t="shared" si="157"/>
        <v>-1.0119719075056537</v>
      </c>
      <c r="L660" s="14">
        <f t="shared" si="157"/>
        <v>0.57818255181156986</v>
      </c>
      <c r="M660" s="20">
        <f t="shared" si="158"/>
        <v>-1.7690498091155254E-3</v>
      </c>
    </row>
    <row r="661" spans="1:13" x14ac:dyDescent="0.25">
      <c r="A661" s="37">
        <v>43908</v>
      </c>
      <c r="B661">
        <v>2020.213</v>
      </c>
      <c r="C661" s="40">
        <f t="shared" si="149"/>
        <v>10669</v>
      </c>
      <c r="D661">
        <v>213.69</v>
      </c>
      <c r="E661" s="20">
        <f t="shared" si="151"/>
        <v>7.1619784885995404E-3</v>
      </c>
      <c r="F661" s="18">
        <f t="shared" si="152"/>
        <v>13.500984851619675</v>
      </c>
      <c r="G661" s="14">
        <f t="shared" si="153"/>
        <v>572.34849876590476</v>
      </c>
      <c r="H661" s="14">
        <f t="shared" si="154"/>
        <v>0.60707576919764961</v>
      </c>
      <c r="I661" s="19">
        <f t="shared" si="155"/>
        <v>1.0606750441498906E-3</v>
      </c>
      <c r="J661" s="14">
        <f t="shared" si="156"/>
        <v>252.03709876590477</v>
      </c>
      <c r="K661" s="14">
        <f t="shared" si="157"/>
        <v>-0.40489613830800408</v>
      </c>
      <c r="L661" s="14">
        <f t="shared" si="157"/>
        <v>0.57924322685571972</v>
      </c>
      <c r="M661" s="20">
        <f t="shared" si="158"/>
        <v>-7.0837476496563479E-4</v>
      </c>
    </row>
    <row r="662" spans="1:13" x14ac:dyDescent="0.25">
      <c r="A662" s="37">
        <v>43914</v>
      </c>
      <c r="B662">
        <v>2020.23</v>
      </c>
      <c r="C662" s="40">
        <f t="shared" si="149"/>
        <v>10675</v>
      </c>
      <c r="D662">
        <v>213.79</v>
      </c>
      <c r="E662" s="20">
        <f t="shared" si="151"/>
        <v>1.5915507752442921E-3</v>
      </c>
      <c r="F662" s="18">
        <f t="shared" si="152"/>
        <v>13.502576402394919</v>
      </c>
      <c r="G662" s="14">
        <f t="shared" si="153"/>
        <v>572.48344823788807</v>
      </c>
      <c r="H662" s="14">
        <f t="shared" si="154"/>
        <v>0.13494947198330465</v>
      </c>
      <c r="I662" s="19">
        <f t="shared" si="155"/>
        <v>2.3572641689236778E-4</v>
      </c>
      <c r="J662" s="14">
        <f t="shared" si="156"/>
        <v>252.17204823788808</v>
      </c>
      <c r="K662" s="14">
        <f t="shared" si="157"/>
        <v>-0.26994666632469944</v>
      </c>
      <c r="L662" s="14">
        <f t="shared" si="157"/>
        <v>0.57947895327261212</v>
      </c>
      <c r="M662" s="20">
        <f t="shared" si="158"/>
        <v>-4.7264834807326703E-4</v>
      </c>
    </row>
    <row r="663" spans="1:13" x14ac:dyDescent="0.25">
      <c r="A663" s="37">
        <v>43921</v>
      </c>
      <c r="B663">
        <v>2020.249</v>
      </c>
      <c r="C663" s="40">
        <f t="shared" si="149"/>
        <v>10682</v>
      </c>
      <c r="D663">
        <v>213.39</v>
      </c>
      <c r="E663" s="20">
        <f t="shared" si="151"/>
        <v>-6.3662031009776212E-3</v>
      </c>
      <c r="F663" s="18">
        <f t="shared" si="152"/>
        <v>13.496210199293941</v>
      </c>
      <c r="G663" s="14">
        <f t="shared" si="153"/>
        <v>571.94374579467103</v>
      </c>
      <c r="H663" s="14">
        <f t="shared" si="154"/>
        <v>-0.53970244321703831</v>
      </c>
      <c r="I663" s="19">
        <f t="shared" si="155"/>
        <v>-9.4362854246646938E-4</v>
      </c>
      <c r="J663" s="14">
        <f t="shared" si="156"/>
        <v>251.63234579467104</v>
      </c>
      <c r="K663" s="14">
        <f t="shared" si="157"/>
        <v>-0.80964910954173774</v>
      </c>
      <c r="L663" s="14">
        <f t="shared" si="157"/>
        <v>0.57853532473014568</v>
      </c>
      <c r="M663" s="20">
        <f t="shared" si="158"/>
        <v>-1.4162768905397363E-3</v>
      </c>
    </row>
    <row r="664" spans="1:13" x14ac:dyDescent="0.25">
      <c r="A664" s="37">
        <v>43928</v>
      </c>
      <c r="B664">
        <v>2020.268</v>
      </c>
      <c r="C664" s="40">
        <f t="shared" si="149"/>
        <v>10689</v>
      </c>
      <c r="D664">
        <v>213.44</v>
      </c>
      <c r="E664" s="20">
        <f t="shared" si="151"/>
        <v>7.9577538762237233E-4</v>
      </c>
      <c r="F664" s="18">
        <f t="shared" si="152"/>
        <v>13.497005974681564</v>
      </c>
      <c r="G664" s="14">
        <f t="shared" si="153"/>
        <v>572.01119468105207</v>
      </c>
      <c r="H664" s="14">
        <f t="shared" si="154"/>
        <v>6.7448886381043849E-2</v>
      </c>
      <c r="I664" s="19">
        <f t="shared" si="155"/>
        <v>1.1791532579821746E-4</v>
      </c>
      <c r="J664" s="14">
        <f t="shared" si="156"/>
        <v>251.69979468105208</v>
      </c>
      <c r="K664" s="14">
        <f t="shared" si="157"/>
        <v>-0.74220022316069389</v>
      </c>
      <c r="L664" s="14">
        <f t="shared" si="157"/>
        <v>0.57865324005594387</v>
      </c>
      <c r="M664" s="20">
        <f t="shared" si="158"/>
        <v>-1.2983615647415188E-3</v>
      </c>
    </row>
    <row r="665" spans="1:13" x14ac:dyDescent="0.25">
      <c r="A665" s="37">
        <v>43935</v>
      </c>
      <c r="B665">
        <v>2020.287</v>
      </c>
      <c r="C665" s="40">
        <f t="shared" si="149"/>
        <v>10696</v>
      </c>
      <c r="D665">
        <v>213.74</v>
      </c>
      <c r="E665" s="20">
        <f t="shared" si="151"/>
        <v>4.7746523257333291E-3</v>
      </c>
      <c r="F665" s="18">
        <f t="shared" si="152"/>
        <v>13.501780627007298</v>
      </c>
      <c r="G665" s="14">
        <f t="shared" si="153"/>
        <v>572.41597151346491</v>
      </c>
      <c r="H665" s="14">
        <f t="shared" si="154"/>
        <v>0.40477683241283557</v>
      </c>
      <c r="I665" s="19">
        <f t="shared" si="155"/>
        <v>7.0713755827358853E-4</v>
      </c>
      <c r="J665" s="14">
        <f t="shared" si="156"/>
        <v>252.10457151346492</v>
      </c>
      <c r="K665" s="14">
        <f t="shared" si="157"/>
        <v>-0.33742339074785832</v>
      </c>
      <c r="L665" s="14">
        <f t="shared" si="157"/>
        <v>0.57936037761421744</v>
      </c>
      <c r="M665" s="20">
        <f t="shared" si="158"/>
        <v>-5.9122400646793025E-4</v>
      </c>
    </row>
    <row r="666" spans="1:13" x14ac:dyDescent="0.25">
      <c r="A666" s="37">
        <v>43942</v>
      </c>
      <c r="B666">
        <v>2020.306</v>
      </c>
      <c r="C666" s="40">
        <f t="shared" si="149"/>
        <v>10703</v>
      </c>
      <c r="D666">
        <v>213.64</v>
      </c>
      <c r="E666" s="20">
        <f t="shared" si="151"/>
        <v>-1.5915507752447447E-3</v>
      </c>
      <c r="F666" s="18">
        <f t="shared" si="152"/>
        <v>13.500189076232052</v>
      </c>
      <c r="G666" s="14">
        <f t="shared" si="153"/>
        <v>572.28102999520786</v>
      </c>
      <c r="H666" s="14">
        <f t="shared" si="154"/>
        <v>-0.13494151825705103</v>
      </c>
      <c r="I666" s="19">
        <f t="shared" si="155"/>
        <v>-2.3579589604460767E-4</v>
      </c>
      <c r="J666" s="14">
        <f t="shared" si="156"/>
        <v>251.96962999520787</v>
      </c>
      <c r="K666" s="14">
        <f t="shared" si="157"/>
        <v>-0.47236490900490935</v>
      </c>
      <c r="L666" s="14">
        <f t="shared" si="157"/>
        <v>0.57912458171817283</v>
      </c>
      <c r="M666" s="20">
        <f t="shared" si="158"/>
        <v>-8.2701990251253792E-4</v>
      </c>
    </row>
    <row r="667" spans="1:13" x14ac:dyDescent="0.25">
      <c r="A667" s="37">
        <v>43949</v>
      </c>
      <c r="B667">
        <v>2020.325</v>
      </c>
      <c r="C667" s="40">
        <f t="shared" si="149"/>
        <v>10710</v>
      </c>
      <c r="D667">
        <v>214.39</v>
      </c>
      <c r="E667" s="20">
        <f t="shared" si="151"/>
        <v>1.193663081433287E-2</v>
      </c>
      <c r="F667" s="18">
        <f t="shared" si="152"/>
        <v>13.512125707046385</v>
      </c>
      <c r="G667" s="14">
        <f t="shared" si="153"/>
        <v>573.29347912629464</v>
      </c>
      <c r="H667" s="14">
        <f t="shared" si="154"/>
        <v>1.0124491310867825</v>
      </c>
      <c r="I667" s="19">
        <f t="shared" si="155"/>
        <v>1.7660224090282096E-3</v>
      </c>
      <c r="J667" s="14">
        <f t="shared" si="156"/>
        <v>252.98207912629465</v>
      </c>
      <c r="K667" s="14">
        <f t="shared" si="157"/>
        <v>0.54008422208187312</v>
      </c>
      <c r="L667" s="14">
        <f t="shared" si="157"/>
        <v>0.58089060412720106</v>
      </c>
      <c r="M667" s="20">
        <f t="shared" si="158"/>
        <v>9.3900250651567172E-4</v>
      </c>
    </row>
    <row r="668" spans="1:13" x14ac:dyDescent="0.25">
      <c r="A668" s="37">
        <v>43956</v>
      </c>
      <c r="B668">
        <v>2020.3440000000001</v>
      </c>
      <c r="C668" s="40">
        <f t="shared" si="149"/>
        <v>10717</v>
      </c>
      <c r="D668">
        <v>215.14</v>
      </c>
      <c r="E668" s="20">
        <f t="shared" si="151"/>
        <v>1.193663081433287E-2</v>
      </c>
      <c r="F668" s="18">
        <f t="shared" si="152"/>
        <v>13.524062337860718</v>
      </c>
      <c r="G668" s="14">
        <f t="shared" si="153"/>
        <v>574.3068230515961</v>
      </c>
      <c r="H668" s="14">
        <f t="shared" si="154"/>
        <v>1.0133439253014558</v>
      </c>
      <c r="I668" s="19">
        <f t="shared" si="155"/>
        <v>1.7644643675257473E-3</v>
      </c>
      <c r="J668" s="14">
        <f t="shared" si="156"/>
        <v>253.99542305159611</v>
      </c>
      <c r="K668" s="14">
        <f t="shared" si="157"/>
        <v>1.5534281473833289</v>
      </c>
      <c r="L668" s="14">
        <f t="shared" si="157"/>
        <v>0.58265506849472681</v>
      </c>
      <c r="M668" s="20">
        <f t="shared" si="158"/>
        <v>2.703466874041419E-3</v>
      </c>
    </row>
    <row r="669" spans="1:13" x14ac:dyDescent="0.25">
      <c r="A669" s="37">
        <v>43963</v>
      </c>
      <c r="B669">
        <v>2020.3630000000001</v>
      </c>
      <c r="C669" s="40">
        <f t="shared" si="149"/>
        <v>10724</v>
      </c>
      <c r="D669">
        <v>216.04</v>
      </c>
      <c r="E669" s="20">
        <f t="shared" si="151"/>
        <v>1.4323956977199534E-2</v>
      </c>
      <c r="F669" s="18">
        <f t="shared" si="152"/>
        <v>13.538386294837917</v>
      </c>
      <c r="G669" s="14">
        <f t="shared" si="153"/>
        <v>575.52401689032115</v>
      </c>
      <c r="H669" s="14">
        <f t="shared" si="154"/>
        <v>1.217193838725052</v>
      </c>
      <c r="I669" s="19">
        <f t="shared" si="155"/>
        <v>2.1149314416135222E-3</v>
      </c>
      <c r="J669" s="14">
        <f t="shared" si="156"/>
        <v>255.21261689032116</v>
      </c>
      <c r="K669" s="14">
        <f t="shared" si="157"/>
        <v>2.770621986108381</v>
      </c>
      <c r="L669" s="14">
        <f t="shared" si="157"/>
        <v>0.58476999993634038</v>
      </c>
      <c r="M669" s="20">
        <f t="shared" si="158"/>
        <v>4.8183983156549412E-3</v>
      </c>
    </row>
    <row r="670" spans="1:13" x14ac:dyDescent="0.25">
      <c r="A670" s="37">
        <v>43970</v>
      </c>
      <c r="B670">
        <v>2020.383</v>
      </c>
      <c r="C670" s="40">
        <f t="shared" si="149"/>
        <v>10731</v>
      </c>
      <c r="D670">
        <v>216.19</v>
      </c>
      <c r="E670" s="20">
        <f t="shared" si="151"/>
        <v>2.3873261628666645E-3</v>
      </c>
      <c r="F670" s="18">
        <f t="shared" si="152"/>
        <v>13.540773621000783</v>
      </c>
      <c r="G670" s="14">
        <f t="shared" si="153"/>
        <v>575.72700780129867</v>
      </c>
      <c r="H670" s="14">
        <f t="shared" si="154"/>
        <v>0.20299091097751898</v>
      </c>
      <c r="I670" s="19">
        <f t="shared" si="155"/>
        <v>3.5258188034766898E-4</v>
      </c>
      <c r="J670" s="14">
        <f t="shared" si="156"/>
        <v>255.41560780129868</v>
      </c>
      <c r="K670" s="14">
        <f t="shared" si="157"/>
        <v>2.9736128970858999</v>
      </c>
      <c r="L670" s="14">
        <f t="shared" si="157"/>
        <v>0.58512258181668808</v>
      </c>
      <c r="M670" s="20">
        <f t="shared" si="158"/>
        <v>5.1709801960026103E-3</v>
      </c>
    </row>
    <row r="671" spans="1:13" x14ac:dyDescent="0.25">
      <c r="A671" s="37">
        <v>43977</v>
      </c>
      <c r="B671">
        <v>2020.402</v>
      </c>
      <c r="C671" s="40">
        <f t="shared" si="149"/>
        <v>10738</v>
      </c>
      <c r="D671">
        <v>216.69</v>
      </c>
      <c r="E671" s="20">
        <f t="shared" si="151"/>
        <v>7.9577538762219142E-3</v>
      </c>
      <c r="F671" s="18">
        <f t="shared" si="152"/>
        <v>13.548731374877004</v>
      </c>
      <c r="G671" s="14">
        <f t="shared" si="153"/>
        <v>576.40390266733027</v>
      </c>
      <c r="H671" s="14">
        <f t="shared" si="154"/>
        <v>0.67689486603160276</v>
      </c>
      <c r="I671" s="19">
        <f t="shared" si="155"/>
        <v>1.1743412265240517E-3</v>
      </c>
      <c r="J671" s="14">
        <f t="shared" si="156"/>
        <v>256.09250266733028</v>
      </c>
      <c r="K671" s="14">
        <f t="shared" si="157"/>
        <v>3.6505077631175027</v>
      </c>
      <c r="L671" s="14">
        <f t="shared" si="157"/>
        <v>0.58629692304321213</v>
      </c>
      <c r="M671" s="20">
        <f t="shared" si="158"/>
        <v>6.3453214225266622E-3</v>
      </c>
    </row>
    <row r="672" spans="1:13" x14ac:dyDescent="0.25">
      <c r="A672" s="37">
        <v>43984</v>
      </c>
      <c r="B672">
        <v>2020.421</v>
      </c>
      <c r="C672" s="40">
        <f t="shared" si="149"/>
        <v>10745</v>
      </c>
      <c r="D672">
        <v>217.19</v>
      </c>
      <c r="E672" s="20">
        <f t="shared" si="151"/>
        <v>7.9577538762219142E-3</v>
      </c>
      <c r="F672" s="18">
        <f t="shared" si="152"/>
        <v>13.556689128753225</v>
      </c>
      <c r="G672" s="14">
        <f t="shared" si="153"/>
        <v>577.08119521967956</v>
      </c>
      <c r="H672" s="14">
        <f t="shared" si="154"/>
        <v>0.67729255234928587</v>
      </c>
      <c r="I672" s="19">
        <f t="shared" si="155"/>
        <v>1.1736520925646494E-3</v>
      </c>
      <c r="J672" s="14">
        <f t="shared" si="156"/>
        <v>256.76979521967957</v>
      </c>
      <c r="K672" s="14">
        <f t="shared" si="157"/>
        <v>4.3278003154667886</v>
      </c>
      <c r="L672" s="14">
        <f t="shared" si="157"/>
        <v>0.58747057513577683</v>
      </c>
      <c r="M672" s="20">
        <f t="shared" si="158"/>
        <v>7.5189735150913116E-3</v>
      </c>
    </row>
    <row r="673" spans="1:13" x14ac:dyDescent="0.25">
      <c r="A673" s="37">
        <v>43991</v>
      </c>
      <c r="B673">
        <v>2020.44</v>
      </c>
      <c r="C673" s="40">
        <f t="shared" si="149"/>
        <v>10752</v>
      </c>
      <c r="D673">
        <v>217.64</v>
      </c>
      <c r="E673" s="20">
        <f t="shared" si="151"/>
        <v>7.1619784885995404E-3</v>
      </c>
      <c r="F673" s="18">
        <f t="shared" si="152"/>
        <v>13.563851107241826</v>
      </c>
      <c r="G673" s="14">
        <f t="shared" si="153"/>
        <v>577.6910985385955</v>
      </c>
      <c r="H673" s="14">
        <f t="shared" si="154"/>
        <v>0.60990331891593996</v>
      </c>
      <c r="I673" s="19">
        <f t="shared" si="155"/>
        <v>1.0557602851399871E-3</v>
      </c>
      <c r="J673" s="14">
        <f t="shared" si="156"/>
        <v>257.37969853859551</v>
      </c>
      <c r="K673" s="14">
        <f t="shared" si="157"/>
        <v>4.9377036343827285</v>
      </c>
      <c r="L673" s="14">
        <f t="shared" si="157"/>
        <v>0.58852633542091681</v>
      </c>
      <c r="M673" s="20">
        <f t="shared" si="158"/>
        <v>8.5747338002312989E-3</v>
      </c>
    </row>
    <row r="674" spans="1:13" x14ac:dyDescent="0.25">
      <c r="A674" s="37">
        <v>43998</v>
      </c>
      <c r="B674">
        <v>2020.4590000000001</v>
      </c>
      <c r="C674" s="40">
        <f t="shared" si="149"/>
        <v>10759</v>
      </c>
      <c r="D674">
        <v>217.69</v>
      </c>
      <c r="E674" s="20">
        <f t="shared" si="151"/>
        <v>7.9577538762237233E-4</v>
      </c>
      <c r="F674" s="18">
        <f t="shared" si="152"/>
        <v>13.564646882629448</v>
      </c>
      <c r="G674" s="14">
        <f t="shared" si="153"/>
        <v>577.75888545834653</v>
      </c>
      <c r="H674" s="14">
        <f t="shared" si="154"/>
        <v>6.7786919751029018E-2</v>
      </c>
      <c r="I674" s="19">
        <f t="shared" si="155"/>
        <v>1.1732735135220366E-4</v>
      </c>
      <c r="J674" s="14">
        <f t="shared" si="156"/>
        <v>257.44748545834653</v>
      </c>
      <c r="K674" s="14">
        <f t="shared" si="157"/>
        <v>5.0054905541337575</v>
      </c>
      <c r="L674" s="14">
        <f t="shared" si="157"/>
        <v>0.58864366277226898</v>
      </c>
      <c r="M674" s="20">
        <f t="shared" si="158"/>
        <v>8.6920611515835019E-3</v>
      </c>
    </row>
    <row r="675" spans="1:13" x14ac:dyDescent="0.25">
      <c r="A675" s="37">
        <v>44004</v>
      </c>
      <c r="B675">
        <v>2020.4749999999999</v>
      </c>
      <c r="C675" s="40">
        <f t="shared" si="149"/>
        <v>10765</v>
      </c>
      <c r="D675">
        <v>217.54</v>
      </c>
      <c r="E675" s="20">
        <f t="shared" si="151"/>
        <v>-2.3873261628666645E-3</v>
      </c>
      <c r="F675" s="18">
        <f t="shared" si="152"/>
        <v>13.562259556466582</v>
      </c>
      <c r="G675" s="14">
        <f t="shared" si="153"/>
        <v>577.55553662968316</v>
      </c>
      <c r="H675" s="14">
        <f t="shared" si="154"/>
        <v>-0.20334882866336557</v>
      </c>
      <c r="I675" s="19">
        <f t="shared" si="155"/>
        <v>-3.5208532472912415E-4</v>
      </c>
      <c r="J675" s="14">
        <f t="shared" si="156"/>
        <v>257.24413662968317</v>
      </c>
      <c r="K675" s="14">
        <f t="shared" ref="K675:L690" si="159">H675+K674</f>
        <v>4.802141725470392</v>
      </c>
      <c r="L675" s="14">
        <f t="shared" si="159"/>
        <v>0.5882915774475399</v>
      </c>
      <c r="M675" s="20">
        <f t="shared" si="158"/>
        <v>8.3399758268543778E-3</v>
      </c>
    </row>
    <row r="676" spans="1:13" x14ac:dyDescent="0.25">
      <c r="A676" s="37">
        <v>44012</v>
      </c>
      <c r="B676">
        <v>2020.4970000000001</v>
      </c>
      <c r="C676" s="40">
        <f t="shared" si="149"/>
        <v>10773</v>
      </c>
      <c r="D676">
        <v>217.49</v>
      </c>
      <c r="E676" s="20">
        <f t="shared" si="151"/>
        <v>-7.9577538762192E-4</v>
      </c>
      <c r="F676" s="18">
        <f t="shared" si="152"/>
        <v>13.56146378107896</v>
      </c>
      <c r="G676" s="14">
        <f t="shared" si="153"/>
        <v>577.48776164052163</v>
      </c>
      <c r="H676" s="14">
        <f t="shared" si="154"/>
        <v>-6.7774989161534904E-2</v>
      </c>
      <c r="I676" s="19">
        <f t="shared" si="155"/>
        <v>-1.1736177571798296E-4</v>
      </c>
      <c r="J676" s="14">
        <f t="shared" si="156"/>
        <v>257.17636164052163</v>
      </c>
      <c r="K676" s="14">
        <f t="shared" si="159"/>
        <v>4.7343667363088571</v>
      </c>
      <c r="L676" s="14">
        <f t="shared" si="159"/>
        <v>0.58817421567182193</v>
      </c>
      <c r="M676" s="20">
        <f t="shared" si="158"/>
        <v>8.2226140511363951E-3</v>
      </c>
    </row>
    <row r="677" spans="1:13" x14ac:dyDescent="0.25">
      <c r="A677" s="37">
        <v>44019</v>
      </c>
      <c r="B677">
        <v>2020.5160000000001</v>
      </c>
      <c r="C677" s="40">
        <f t="shared" si="149"/>
        <v>10780</v>
      </c>
      <c r="D677">
        <v>217.44</v>
      </c>
      <c r="E677" s="20">
        <f t="shared" si="151"/>
        <v>-7.9577538762237233E-4</v>
      </c>
      <c r="F677" s="18">
        <f t="shared" si="152"/>
        <v>13.560668005691337</v>
      </c>
      <c r="G677" s="14">
        <f t="shared" si="153"/>
        <v>577.41999062822333</v>
      </c>
      <c r="H677" s="14">
        <f t="shared" si="154"/>
        <v>-6.7771012298294409E-2</v>
      </c>
      <c r="I677" s="19">
        <f t="shared" si="155"/>
        <v>-1.1736866301521823E-4</v>
      </c>
      <c r="J677" s="14">
        <f t="shared" si="156"/>
        <v>257.10859062822334</v>
      </c>
      <c r="K677" s="14">
        <f t="shared" si="159"/>
        <v>4.6665957240105627</v>
      </c>
      <c r="L677" s="14">
        <f t="shared" si="159"/>
        <v>0.58805684700880667</v>
      </c>
      <c r="M677" s="20">
        <f t="shared" si="158"/>
        <v>8.1052453881211763E-3</v>
      </c>
    </row>
    <row r="678" spans="1:13" x14ac:dyDescent="0.25">
      <c r="A678" s="37">
        <v>44026</v>
      </c>
      <c r="B678">
        <v>2020.5360000000001</v>
      </c>
      <c r="C678" s="40">
        <f t="shared" si="149"/>
        <v>10787</v>
      </c>
      <c r="D678">
        <v>217.34</v>
      </c>
      <c r="E678" s="20">
        <f t="shared" si="151"/>
        <v>-1.5915507752442921E-3</v>
      </c>
      <c r="F678" s="18">
        <f t="shared" si="152"/>
        <v>13.559076454916093</v>
      </c>
      <c r="G678" s="14">
        <f t="shared" si="153"/>
        <v>577.28446053421635</v>
      </c>
      <c r="H678" s="14">
        <f t="shared" si="154"/>
        <v>-0.13553009400698102</v>
      </c>
      <c r="I678" s="19">
        <f t="shared" si="155"/>
        <v>-2.347717689846737E-4</v>
      </c>
      <c r="J678" s="14">
        <f t="shared" si="156"/>
        <v>256.97306053421636</v>
      </c>
      <c r="K678" s="14">
        <f t="shared" si="159"/>
        <v>4.5310656300035816</v>
      </c>
      <c r="L678" s="14">
        <f t="shared" si="159"/>
        <v>0.587822075239822</v>
      </c>
      <c r="M678" s="20">
        <f t="shared" si="158"/>
        <v>7.8704736191365018E-3</v>
      </c>
    </row>
    <row r="679" spans="1:13" x14ac:dyDescent="0.25">
      <c r="A679" s="37">
        <v>44033</v>
      </c>
      <c r="B679">
        <v>2020.5550000000001</v>
      </c>
      <c r="C679" s="40">
        <f t="shared" si="149"/>
        <v>10794</v>
      </c>
      <c r="D679">
        <v>217.34</v>
      </c>
      <c r="E679" s="20">
        <f t="shared" si="151"/>
        <v>0</v>
      </c>
      <c r="F679" s="18">
        <f t="shared" si="152"/>
        <v>13.559076454916093</v>
      </c>
      <c r="G679" s="14">
        <f t="shared" si="153"/>
        <v>577.28446053421635</v>
      </c>
      <c r="H679" s="14">
        <f t="shared" si="154"/>
        <v>0</v>
      </c>
      <c r="I679" s="19">
        <f t="shared" si="155"/>
        <v>0</v>
      </c>
      <c r="J679" s="14">
        <f t="shared" si="156"/>
        <v>256.97306053421636</v>
      </c>
      <c r="K679" s="14">
        <f t="shared" si="159"/>
        <v>4.5310656300035816</v>
      </c>
      <c r="L679" s="14">
        <f t="shared" si="159"/>
        <v>0.587822075239822</v>
      </c>
      <c r="M679" s="20">
        <f t="shared" si="158"/>
        <v>7.8704736191365018E-3</v>
      </c>
    </row>
    <row r="680" spans="1:13" x14ac:dyDescent="0.25">
      <c r="A680" s="37">
        <v>44040</v>
      </c>
      <c r="B680">
        <v>2020.5740000000001</v>
      </c>
      <c r="C680" s="40">
        <f t="shared" si="149"/>
        <v>10801</v>
      </c>
      <c r="D680">
        <v>217.99</v>
      </c>
      <c r="E680" s="20">
        <f t="shared" si="151"/>
        <v>1.0345080039088579E-2</v>
      </c>
      <c r="F680" s="18">
        <f t="shared" si="152"/>
        <v>13.569421534955183</v>
      </c>
      <c r="G680" s="14">
        <f t="shared" si="153"/>
        <v>578.16569049097916</v>
      </c>
      <c r="H680" s="14">
        <f t="shared" si="154"/>
        <v>0.8812299567628088</v>
      </c>
      <c r="I680" s="19">
        <f t="shared" si="155"/>
        <v>1.5241823775715003E-3</v>
      </c>
      <c r="J680" s="14">
        <f t="shared" si="156"/>
        <v>257.85429049097917</v>
      </c>
      <c r="K680" s="14">
        <f t="shared" si="159"/>
        <v>5.4122955867663904</v>
      </c>
      <c r="L680" s="14">
        <f t="shared" si="159"/>
        <v>0.58934625761739345</v>
      </c>
      <c r="M680" s="20">
        <f t="shared" si="158"/>
        <v>9.3946559967080026E-3</v>
      </c>
    </row>
    <row r="681" spans="1:13" x14ac:dyDescent="0.25">
      <c r="A681" s="37">
        <v>44047</v>
      </c>
      <c r="B681">
        <v>2020.5930000000001</v>
      </c>
      <c r="C681" s="40">
        <f t="shared" si="149"/>
        <v>10808</v>
      </c>
      <c r="D681">
        <v>217.89</v>
      </c>
      <c r="E681" s="20">
        <f t="shared" si="151"/>
        <v>-1.5915507752447447E-3</v>
      </c>
      <c r="F681" s="18">
        <f t="shared" si="152"/>
        <v>13.567829984179937</v>
      </c>
      <c r="G681" s="14">
        <f t="shared" si="153"/>
        <v>578.03007290598214</v>
      </c>
      <c r="H681" s="14">
        <f t="shared" si="154"/>
        <v>-0.13561758499702137</v>
      </c>
      <c r="I681" s="19">
        <f t="shared" si="155"/>
        <v>-2.3462029287718369E-4</v>
      </c>
      <c r="J681" s="14">
        <f t="shared" si="156"/>
        <v>257.71867290598215</v>
      </c>
      <c r="K681" s="14">
        <f t="shared" si="159"/>
        <v>5.2766780017693691</v>
      </c>
      <c r="L681" s="14">
        <f t="shared" si="159"/>
        <v>0.58911163732451632</v>
      </c>
      <c r="M681" s="20">
        <f t="shared" si="158"/>
        <v>9.1600357038308187E-3</v>
      </c>
    </row>
    <row r="682" spans="1:13" x14ac:dyDescent="0.25">
      <c r="A682" s="37">
        <v>44053</v>
      </c>
      <c r="B682">
        <v>2020.6089999999999</v>
      </c>
      <c r="C682" s="40">
        <f t="shared" si="149"/>
        <v>10814</v>
      </c>
      <c r="D682">
        <v>217.74</v>
      </c>
      <c r="E682" s="20">
        <f t="shared" si="151"/>
        <v>-2.3873261628662122E-3</v>
      </c>
      <c r="F682" s="18">
        <f t="shared" si="152"/>
        <v>13.565442658017071</v>
      </c>
      <c r="G682" s="14">
        <f t="shared" si="153"/>
        <v>577.82667635496068</v>
      </c>
      <c r="H682" s="14">
        <f t="shared" si="154"/>
        <v>-0.20339655102145571</v>
      </c>
      <c r="I682" s="19">
        <f t="shared" si="155"/>
        <v>-3.5200270140610222E-4</v>
      </c>
      <c r="J682" s="14">
        <f t="shared" si="156"/>
        <v>257.51527635496069</v>
      </c>
      <c r="K682" s="14">
        <f t="shared" si="159"/>
        <v>5.0732814507479134</v>
      </c>
      <c r="L682" s="14">
        <f t="shared" si="159"/>
        <v>0.58875963462311021</v>
      </c>
      <c r="M682" s="20">
        <f t="shared" si="158"/>
        <v>8.8080330024247165E-3</v>
      </c>
    </row>
    <row r="683" spans="1:13" x14ac:dyDescent="0.25">
      <c r="A683" s="37">
        <v>44061</v>
      </c>
      <c r="B683">
        <v>2020.6310000000001</v>
      </c>
      <c r="C683" s="40">
        <f t="shared" si="149"/>
        <v>10822</v>
      </c>
      <c r="D683">
        <v>217.64</v>
      </c>
      <c r="E683" s="20">
        <f t="shared" si="151"/>
        <v>-1.5915507752447447E-3</v>
      </c>
      <c r="F683" s="18">
        <f t="shared" si="152"/>
        <v>13.563851107241826</v>
      </c>
      <c r="G683" s="14">
        <f t="shared" si="153"/>
        <v>577.6910985385955</v>
      </c>
      <c r="H683" s="14">
        <f t="shared" si="154"/>
        <v>-0.13557781636518484</v>
      </c>
      <c r="I683" s="19">
        <f t="shared" si="155"/>
        <v>-2.3468912141481942E-4</v>
      </c>
      <c r="J683" s="14">
        <f t="shared" si="156"/>
        <v>257.37969853859551</v>
      </c>
      <c r="K683" s="14">
        <f t="shared" si="159"/>
        <v>4.9377036343827285</v>
      </c>
      <c r="L683" s="14">
        <f t="shared" si="159"/>
        <v>0.58852494550169543</v>
      </c>
      <c r="M683" s="20">
        <f t="shared" si="158"/>
        <v>8.5733438810098976E-3</v>
      </c>
    </row>
    <row r="684" spans="1:13" x14ac:dyDescent="0.25">
      <c r="A684" s="37">
        <v>44068</v>
      </c>
      <c r="B684">
        <v>2020.65</v>
      </c>
      <c r="C684" s="40">
        <f t="shared" si="149"/>
        <v>10829</v>
      </c>
      <c r="D684">
        <v>217.59</v>
      </c>
      <c r="E684" s="20">
        <f t="shared" si="151"/>
        <v>-7.9577538762192E-4</v>
      </c>
      <c r="F684" s="18">
        <f t="shared" si="152"/>
        <v>13.563055331854203</v>
      </c>
      <c r="G684" s="14">
        <f t="shared" si="153"/>
        <v>577.6233155957076</v>
      </c>
      <c r="H684" s="14">
        <f t="shared" si="154"/>
        <v>-6.7782942887902209E-2</v>
      </c>
      <c r="I684" s="19">
        <f t="shared" si="155"/>
        <v>-1.1734800354794735E-4</v>
      </c>
      <c r="J684" s="14">
        <f t="shared" si="156"/>
        <v>257.3119155957076</v>
      </c>
      <c r="K684" s="14">
        <f t="shared" si="159"/>
        <v>4.8699206914948263</v>
      </c>
      <c r="L684" s="14">
        <f t="shared" si="159"/>
        <v>0.58840759749814753</v>
      </c>
      <c r="M684" s="20">
        <f t="shared" si="158"/>
        <v>8.4559958774619495E-3</v>
      </c>
    </row>
    <row r="685" spans="1:13" x14ac:dyDescent="0.25">
      <c r="A685" s="37">
        <v>44075</v>
      </c>
      <c r="B685">
        <v>2020.6690000000001</v>
      </c>
      <c r="C685" s="40">
        <f t="shared" si="149"/>
        <v>10836</v>
      </c>
      <c r="D685">
        <v>217.49</v>
      </c>
      <c r="E685" s="20">
        <f t="shared" si="151"/>
        <v>-1.5915507752442921E-3</v>
      </c>
      <c r="F685" s="18">
        <f t="shared" si="152"/>
        <v>13.56146378107896</v>
      </c>
      <c r="G685" s="14">
        <f t="shared" si="153"/>
        <v>577.48776164052163</v>
      </c>
      <c r="H685" s="14">
        <f t="shared" si="154"/>
        <v>-0.13555395518596924</v>
      </c>
      <c r="I685" s="19">
        <f t="shared" si="155"/>
        <v>-2.3473043792458716E-4</v>
      </c>
      <c r="J685" s="14">
        <f t="shared" si="156"/>
        <v>257.17636164052163</v>
      </c>
      <c r="K685" s="14">
        <f t="shared" si="159"/>
        <v>4.7343667363088571</v>
      </c>
      <c r="L685" s="14">
        <f t="shared" si="159"/>
        <v>0.58817286706022298</v>
      </c>
      <c r="M685" s="20">
        <f t="shared" si="158"/>
        <v>8.2212654395373615E-3</v>
      </c>
    </row>
    <row r="686" spans="1:13" x14ac:dyDescent="0.25">
      <c r="A686" s="37">
        <v>44089</v>
      </c>
      <c r="B686">
        <v>2020.7080000000001</v>
      </c>
      <c r="C686" s="40">
        <f t="shared" si="149"/>
        <v>10850</v>
      </c>
      <c r="D686">
        <v>218.44</v>
      </c>
      <c r="E686" s="20">
        <f t="shared" si="151"/>
        <v>1.5119732364821455E-2</v>
      </c>
      <c r="F686" s="18">
        <f t="shared" si="152"/>
        <v>13.576583513443781</v>
      </c>
      <c r="G686" s="14">
        <f t="shared" si="153"/>
        <v>578.77616647819241</v>
      </c>
      <c r="H686" s="14">
        <f t="shared" si="154"/>
        <v>1.2884048376707824</v>
      </c>
      <c r="I686" s="19">
        <f t="shared" si="155"/>
        <v>2.2260848187834422E-3</v>
      </c>
      <c r="J686" s="14">
        <f t="shared" si="156"/>
        <v>258.46476647819242</v>
      </c>
      <c r="K686" s="14">
        <f t="shared" si="159"/>
        <v>6.0227715739796395</v>
      </c>
      <c r="L686" s="14">
        <f t="shared" si="159"/>
        <v>0.59039895187900637</v>
      </c>
      <c r="M686" s="20">
        <f t="shared" si="158"/>
        <v>1.0447350258320803E-2</v>
      </c>
    </row>
    <row r="687" spans="1:13" x14ac:dyDescent="0.25">
      <c r="A687" s="37">
        <v>44096</v>
      </c>
      <c r="B687">
        <v>2020.7270000000001</v>
      </c>
      <c r="C687" s="40">
        <f t="shared" si="149"/>
        <v>10857</v>
      </c>
      <c r="D687">
        <v>218.09</v>
      </c>
      <c r="E687" s="20">
        <f t="shared" si="151"/>
        <v>-5.5704277133552492E-3</v>
      </c>
      <c r="F687" s="18">
        <f t="shared" si="152"/>
        <v>13.571013085730426</v>
      </c>
      <c r="G687" s="14">
        <f t="shared" si="153"/>
        <v>578.30132398342869</v>
      </c>
      <c r="H687" s="14">
        <f t="shared" si="154"/>
        <v>-0.47484249476372042</v>
      </c>
      <c r="I687" s="19">
        <f t="shared" si="155"/>
        <v>-8.2109875089500419E-4</v>
      </c>
      <c r="J687" s="14">
        <f t="shared" si="156"/>
        <v>257.9899239834287</v>
      </c>
      <c r="K687" s="14">
        <f t="shared" si="159"/>
        <v>5.547929079215919</v>
      </c>
      <c r="L687" s="14">
        <f t="shared" si="159"/>
        <v>0.5895778531281114</v>
      </c>
      <c r="M687" s="20">
        <f t="shared" si="158"/>
        <v>9.6262515074257999E-3</v>
      </c>
    </row>
    <row r="688" spans="1:13" x14ac:dyDescent="0.25">
      <c r="A688" s="37">
        <v>44103</v>
      </c>
      <c r="B688">
        <v>2020.7460000000001</v>
      </c>
      <c r="C688" s="40">
        <f t="shared" si="149"/>
        <v>10864</v>
      </c>
      <c r="D688">
        <v>218.04</v>
      </c>
      <c r="E688" s="20">
        <f t="shared" si="151"/>
        <v>-7.9577538762237233E-4</v>
      </c>
      <c r="F688" s="18">
        <f t="shared" si="152"/>
        <v>13.570217310342803</v>
      </c>
      <c r="G688" s="14">
        <f t="shared" si="153"/>
        <v>578.2335052487723</v>
      </c>
      <c r="H688" s="14">
        <f t="shared" si="154"/>
        <v>-6.7818734656384549E-2</v>
      </c>
      <c r="I688" s="19">
        <f t="shared" si="155"/>
        <v>-1.1728606876076305E-4</v>
      </c>
      <c r="J688" s="14">
        <f t="shared" si="156"/>
        <v>257.92210524877231</v>
      </c>
      <c r="K688" s="14">
        <f t="shared" si="159"/>
        <v>5.4801103445595345</v>
      </c>
      <c r="L688" s="14">
        <f t="shared" si="159"/>
        <v>0.58946056705935068</v>
      </c>
      <c r="M688" s="20">
        <f t="shared" si="158"/>
        <v>9.508965438665036E-3</v>
      </c>
    </row>
    <row r="689" spans="1:13" x14ac:dyDescent="0.25">
      <c r="A689" s="37">
        <v>44110</v>
      </c>
      <c r="B689">
        <v>2020.7650000000001</v>
      </c>
      <c r="C689" s="40">
        <f t="shared" si="149"/>
        <v>10871</v>
      </c>
      <c r="D689">
        <v>217.74</v>
      </c>
      <c r="E689" s="20">
        <f t="shared" si="151"/>
        <v>-4.7746523257328763E-3</v>
      </c>
      <c r="F689" s="18">
        <f t="shared" si="152"/>
        <v>13.565442658017071</v>
      </c>
      <c r="G689" s="14">
        <f t="shared" si="153"/>
        <v>577.82667635496068</v>
      </c>
      <c r="H689" s="14">
        <f t="shared" si="154"/>
        <v>-0.40682889381162113</v>
      </c>
      <c r="I689" s="19">
        <f t="shared" si="155"/>
        <v>-7.0406734486191307E-4</v>
      </c>
      <c r="J689" s="14">
        <f t="shared" si="156"/>
        <v>257.51527635496069</v>
      </c>
      <c r="K689" s="14">
        <f t="shared" si="159"/>
        <v>5.0732814507479134</v>
      </c>
      <c r="L689" s="14">
        <f t="shared" si="159"/>
        <v>0.58875649971448873</v>
      </c>
      <c r="M689" s="20">
        <f t="shared" si="158"/>
        <v>8.8048980938031235E-3</v>
      </c>
    </row>
    <row r="690" spans="1:13" x14ac:dyDescent="0.25">
      <c r="A690" s="37">
        <v>44117</v>
      </c>
      <c r="B690">
        <v>2020.7840000000001</v>
      </c>
      <c r="C690" s="40">
        <f t="shared" si="149"/>
        <v>10878</v>
      </c>
      <c r="D690">
        <v>217.54</v>
      </c>
      <c r="E690" s="20">
        <f t="shared" si="151"/>
        <v>-3.1831015504890365E-3</v>
      </c>
      <c r="F690" s="18">
        <f t="shared" si="152"/>
        <v>13.562259556466582</v>
      </c>
      <c r="G690" s="14">
        <f t="shared" si="153"/>
        <v>577.55553662968316</v>
      </c>
      <c r="H690" s="14">
        <f t="shared" si="154"/>
        <v>-0.27113972527752139</v>
      </c>
      <c r="I690" s="19">
        <f t="shared" si="155"/>
        <v>-4.694608710008275E-4</v>
      </c>
      <c r="J690" s="14">
        <f t="shared" si="156"/>
        <v>257.24413662968317</v>
      </c>
      <c r="K690" s="14">
        <f t="shared" si="159"/>
        <v>4.802141725470392</v>
      </c>
      <c r="L690" s="14">
        <f t="shared" si="159"/>
        <v>0.58828703884348788</v>
      </c>
      <c r="M690" s="20">
        <f t="shared" si="158"/>
        <v>8.3354372228022968E-3</v>
      </c>
    </row>
    <row r="691" spans="1:13" x14ac:dyDescent="0.25">
      <c r="A691" s="37">
        <v>44125</v>
      </c>
      <c r="B691">
        <v>2020.806</v>
      </c>
      <c r="C691" s="40">
        <f t="shared" si="149"/>
        <v>10886</v>
      </c>
      <c r="D691">
        <v>217.44</v>
      </c>
      <c r="E691" s="20">
        <f t="shared" si="151"/>
        <v>-1.5915507752442921E-3</v>
      </c>
      <c r="F691" s="18">
        <f t="shared" si="152"/>
        <v>13.560668005691339</v>
      </c>
      <c r="G691" s="14">
        <f t="shared" si="153"/>
        <v>577.41999062822345</v>
      </c>
      <c r="H691" s="14">
        <f t="shared" si="154"/>
        <v>-0.13554600145971563</v>
      </c>
      <c r="I691" s="19">
        <f t="shared" si="155"/>
        <v>-2.3474421332770937E-4</v>
      </c>
      <c r="J691" s="14">
        <f t="shared" si="156"/>
        <v>257.10859062822345</v>
      </c>
      <c r="K691" s="14">
        <f t="shared" ref="K691:L698" si="160">H691+K690</f>
        <v>4.6665957240106763</v>
      </c>
      <c r="L691" s="14">
        <f t="shared" si="160"/>
        <v>0.58805229463016018</v>
      </c>
      <c r="M691" s="20">
        <f t="shared" si="158"/>
        <v>8.1006930094745869E-3</v>
      </c>
    </row>
    <row r="692" spans="1:13" x14ac:dyDescent="0.25">
      <c r="A692" s="37">
        <v>44134</v>
      </c>
      <c r="B692">
        <v>2020.8309999999999</v>
      </c>
      <c r="C692" s="40">
        <f t="shared" si="149"/>
        <v>10895</v>
      </c>
      <c r="D692">
        <v>218.94</v>
      </c>
      <c r="E692" s="20">
        <f t="shared" si="151"/>
        <v>2.3873261628665741E-2</v>
      </c>
      <c r="F692" s="18">
        <f t="shared" si="152"/>
        <v>13.584541267320004</v>
      </c>
      <c r="G692" s="14">
        <f t="shared" si="153"/>
        <v>579.45485093265336</v>
      </c>
      <c r="H692" s="14">
        <f t="shared" si="154"/>
        <v>2.0348603044299125</v>
      </c>
      <c r="I692" s="19">
        <f t="shared" si="155"/>
        <v>3.5116805065221767E-3</v>
      </c>
      <c r="J692" s="14">
        <f t="shared" si="156"/>
        <v>259.14345093265337</v>
      </c>
      <c r="K692" s="14">
        <f t="shared" si="160"/>
        <v>6.7014560284405889</v>
      </c>
      <c r="L692" s="14">
        <f t="shared" si="160"/>
        <v>0.59156397513668235</v>
      </c>
      <c r="M692" s="20">
        <f t="shared" si="158"/>
        <v>1.1612373515996763E-2</v>
      </c>
    </row>
    <row r="693" spans="1:13" x14ac:dyDescent="0.25">
      <c r="A693" s="37">
        <v>44139</v>
      </c>
      <c r="B693">
        <v>2020.8440000000001</v>
      </c>
      <c r="C693" s="40">
        <f t="shared" si="149"/>
        <v>10900</v>
      </c>
      <c r="D693">
        <v>217.69</v>
      </c>
      <c r="E693" s="20">
        <f t="shared" si="151"/>
        <v>-1.9894384690554785E-2</v>
      </c>
      <c r="F693" s="18">
        <f t="shared" si="152"/>
        <v>13.56464688262945</v>
      </c>
      <c r="G693" s="14">
        <f t="shared" si="153"/>
        <v>577.75888545834664</v>
      </c>
      <c r="H693" s="14">
        <f t="shared" si="154"/>
        <v>-1.6959654743067176</v>
      </c>
      <c r="I693" s="19">
        <f t="shared" si="155"/>
        <v>-2.9354208424873939E-3</v>
      </c>
      <c r="J693" s="14">
        <f t="shared" si="156"/>
        <v>257.44748545834665</v>
      </c>
      <c r="K693" s="14">
        <f t="shared" si="160"/>
        <v>5.0054905541338712</v>
      </c>
      <c r="L693" s="14">
        <f t="shared" si="160"/>
        <v>0.58862855429419492</v>
      </c>
      <c r="M693" s="20">
        <f t="shared" si="158"/>
        <v>8.6769526735093697E-3</v>
      </c>
    </row>
    <row r="694" spans="1:13" x14ac:dyDescent="0.25">
      <c r="A694" s="37">
        <v>44145</v>
      </c>
      <c r="B694">
        <v>2020.8610000000001</v>
      </c>
      <c r="C694" s="40">
        <f t="shared" si="149"/>
        <v>10906</v>
      </c>
      <c r="D694">
        <v>218.04</v>
      </c>
      <c r="E694" s="20">
        <f t="shared" si="151"/>
        <v>5.5704277133552492E-3</v>
      </c>
      <c r="F694" s="18">
        <f t="shared" si="152"/>
        <v>13.570217310342805</v>
      </c>
      <c r="G694" s="14">
        <f t="shared" si="153"/>
        <v>578.23350524877242</v>
      </c>
      <c r="H694" s="14">
        <f t="shared" si="154"/>
        <v>0.47461979042577696</v>
      </c>
      <c r="I694" s="19">
        <f t="shared" si="155"/>
        <v>8.2080990831131812E-4</v>
      </c>
      <c r="J694" s="14">
        <f t="shared" si="156"/>
        <v>257.92210524877243</v>
      </c>
      <c r="K694" s="14">
        <f t="shared" si="160"/>
        <v>5.4801103445596482</v>
      </c>
      <c r="L694" s="14">
        <f t="shared" si="160"/>
        <v>0.58944936420250627</v>
      </c>
      <c r="M694" s="20">
        <f t="shared" si="158"/>
        <v>9.4977625818206887E-3</v>
      </c>
    </row>
    <row r="695" spans="1:13" x14ac:dyDescent="0.25">
      <c r="A695" s="37">
        <v>44152</v>
      </c>
      <c r="B695">
        <v>2020.88</v>
      </c>
      <c r="C695" s="40">
        <f t="shared" si="149"/>
        <v>10913</v>
      </c>
      <c r="D695">
        <v>217.99</v>
      </c>
      <c r="E695" s="20">
        <f t="shared" si="151"/>
        <v>-7.9577538762192E-4</v>
      </c>
      <c r="F695" s="18">
        <f t="shared" si="152"/>
        <v>13.569421534955183</v>
      </c>
      <c r="G695" s="14">
        <f t="shared" si="153"/>
        <v>578.16569049097916</v>
      </c>
      <c r="H695" s="14">
        <f t="shared" si="154"/>
        <v>-6.7814757793257741E-2</v>
      </c>
      <c r="I695" s="19">
        <f t="shared" si="155"/>
        <v>-1.1729294717517629E-4</v>
      </c>
      <c r="J695" s="14">
        <f t="shared" si="156"/>
        <v>257.85429049097917</v>
      </c>
      <c r="K695" s="14">
        <f t="shared" si="160"/>
        <v>5.4122955867663904</v>
      </c>
      <c r="L695" s="14">
        <f t="shared" si="160"/>
        <v>0.58933207125533105</v>
      </c>
      <c r="M695" s="20">
        <f t="shared" si="158"/>
        <v>9.3804696346455121E-3</v>
      </c>
    </row>
    <row r="696" spans="1:13" x14ac:dyDescent="0.25">
      <c r="A696" s="37">
        <v>44159</v>
      </c>
      <c r="B696">
        <v>2020.8989999999999</v>
      </c>
      <c r="C696" s="40">
        <f t="shared" si="149"/>
        <v>10920</v>
      </c>
      <c r="D696">
        <v>218.79</v>
      </c>
      <c r="E696" s="20">
        <f t="shared" si="151"/>
        <v>1.273240620195479E-2</v>
      </c>
      <c r="F696" s="18">
        <f t="shared" si="152"/>
        <v>13.582153941157138</v>
      </c>
      <c r="G696" s="14">
        <f t="shared" si="153"/>
        <v>579.25120383925184</v>
      </c>
      <c r="H696" s="14">
        <f t="shared" si="154"/>
        <v>1.0855133482726842</v>
      </c>
      <c r="I696" s="19">
        <f t="shared" si="155"/>
        <v>1.8739941170220257E-3</v>
      </c>
      <c r="J696" s="14">
        <f t="shared" si="156"/>
        <v>258.93980383925185</v>
      </c>
      <c r="K696" s="14">
        <f t="shared" si="160"/>
        <v>6.4978089350390746</v>
      </c>
      <c r="L696" s="14">
        <f t="shared" si="160"/>
        <v>0.5912060653723531</v>
      </c>
      <c r="M696" s="20">
        <f t="shared" si="158"/>
        <v>1.1254463751667538E-2</v>
      </c>
    </row>
    <row r="697" spans="1:13" x14ac:dyDescent="0.25">
      <c r="A697" s="37">
        <v>44173</v>
      </c>
      <c r="B697">
        <v>2020.9369999999999</v>
      </c>
      <c r="C697" s="40">
        <f t="shared" si="149"/>
        <v>10934</v>
      </c>
      <c r="D697">
        <v>218.94</v>
      </c>
      <c r="E697" s="20">
        <f t="shared" si="151"/>
        <v>2.3873261628666645E-3</v>
      </c>
      <c r="F697" s="18">
        <f t="shared" si="152"/>
        <v>13.584541267320004</v>
      </c>
      <c r="G697" s="14">
        <f t="shared" si="153"/>
        <v>579.45485093265336</v>
      </c>
      <c r="H697" s="14">
        <f t="shared" si="154"/>
        <v>0.20364709340151421</v>
      </c>
      <c r="I697" s="19">
        <f t="shared" si="155"/>
        <v>3.5144600666253277E-4</v>
      </c>
      <c r="J697" s="14">
        <f t="shared" si="156"/>
        <v>259.14345093265337</v>
      </c>
      <c r="K697" s="14">
        <f t="shared" si="160"/>
        <v>6.7014560284405889</v>
      </c>
      <c r="L697" s="14">
        <f t="shared" si="160"/>
        <v>0.59155751137901558</v>
      </c>
      <c r="M697" s="20">
        <f t="shared" si="158"/>
        <v>1.1605909758330072E-2</v>
      </c>
    </row>
    <row r="698" spans="1:13" x14ac:dyDescent="0.25">
      <c r="A698" s="37">
        <v>44195</v>
      </c>
      <c r="B698">
        <v>2020.9970000000001</v>
      </c>
      <c r="C698" s="40">
        <f t="shared" si="149"/>
        <v>10956</v>
      </c>
      <c r="D698">
        <v>218.89</v>
      </c>
      <c r="E698" s="20">
        <f t="shared" si="151"/>
        <v>-7.9577538762237233E-4</v>
      </c>
      <c r="F698" s="18">
        <f t="shared" si="152"/>
        <v>13.583745491932381</v>
      </c>
      <c r="G698" s="14">
        <f t="shared" si="153"/>
        <v>579.38696459132291</v>
      </c>
      <c r="H698" s="14">
        <f t="shared" si="154"/>
        <v>-6.7886341330449795E-2</v>
      </c>
      <c r="I698" s="19">
        <f t="shared" si="155"/>
        <v>-1.1716925902593302E-4</v>
      </c>
      <c r="J698" s="14">
        <f t="shared" si="156"/>
        <v>259.07556459132292</v>
      </c>
      <c r="K698" s="14">
        <f t="shared" si="160"/>
        <v>6.6335696871101391</v>
      </c>
      <c r="L698" s="14">
        <f t="shared" si="160"/>
        <v>0.59144034211998964</v>
      </c>
      <c r="M698" s="20">
        <f t="shared" si="158"/>
        <v>1.1488740499304139E-2</v>
      </c>
    </row>
    <row r="699" spans="1:13" x14ac:dyDescent="0.25">
      <c r="A699" s="37">
        <v>44229</v>
      </c>
      <c r="B699">
        <v>2021.09</v>
      </c>
      <c r="C699" s="40">
        <f t="shared" si="149"/>
        <v>10990</v>
      </c>
      <c r="D699">
        <v>218.79</v>
      </c>
      <c r="E699" s="20">
        <f>((D699-D698)/10)/(2*3.14159)</f>
        <v>-1.5915507752442921E-3</v>
      </c>
      <c r="F699" s="18">
        <f>E699+F698</f>
        <v>13.582153941157138</v>
      </c>
      <c r="G699" s="14">
        <f>3.14*(F699^2)</f>
        <v>579.25120383925184</v>
      </c>
      <c r="H699" s="14">
        <f>G699-G698</f>
        <v>-0.13576075207106442</v>
      </c>
      <c r="I699" s="19">
        <f>H699/G699</f>
        <v>-2.3437284406359113E-4</v>
      </c>
      <c r="J699" s="14">
        <f>H699+J698</f>
        <v>258.93980383925185</v>
      </c>
      <c r="K699" s="14">
        <f>H699</f>
        <v>-0.13576075207106442</v>
      </c>
      <c r="L699" s="14">
        <f>I699+L698</f>
        <v>0.59120596927592606</v>
      </c>
      <c r="M699" s="20">
        <f>I699</f>
        <v>-2.3437284406359113E-4</v>
      </c>
    </row>
    <row r="700" spans="1:13" x14ac:dyDescent="0.25">
      <c r="A700" s="37">
        <v>44257</v>
      </c>
      <c r="B700">
        <v>2021.1669999999999</v>
      </c>
      <c r="C700" s="40">
        <f t="shared" si="149"/>
        <v>11018</v>
      </c>
      <c r="D700">
        <v>218.69</v>
      </c>
      <c r="E700" s="20">
        <f>((D700-D699)/10)/(2*3.14159)</f>
        <v>-1.5915507752442921E-3</v>
      </c>
      <c r="F700" s="18">
        <f>E700+F699</f>
        <v>13.580562390381894</v>
      </c>
      <c r="G700" s="14">
        <f>3.14*(F700^2)</f>
        <v>579.1154589946334</v>
      </c>
      <c r="H700" s="14">
        <f>G700-G699</f>
        <v>-0.13574484461844349</v>
      </c>
      <c r="I700" s="19">
        <f>H700/G700</f>
        <v>-2.3440031259759796E-4</v>
      </c>
      <c r="J700" s="14">
        <f>H700+J699</f>
        <v>258.80405899463341</v>
      </c>
      <c r="K700" s="14">
        <f>H700+K699</f>
        <v>-0.27150559668950791</v>
      </c>
      <c r="L700" s="14">
        <f>I700+L699</f>
        <v>0.59097156896332848</v>
      </c>
      <c r="M700" s="20">
        <f>I700+M699</f>
        <v>-4.6877315666118909E-4</v>
      </c>
    </row>
    <row r="701" spans="1:13" x14ac:dyDescent="0.25">
      <c r="A701" s="37">
        <v>44264</v>
      </c>
      <c r="B701">
        <v>2021.1859999999999</v>
      </c>
      <c r="C701" s="40">
        <f t="shared" si="149"/>
        <v>11025</v>
      </c>
      <c r="D701">
        <v>218.49</v>
      </c>
      <c r="E701" s="20">
        <f t="shared" ref="E701:E736" si="161">((D701-D700)/10)/(2*3.14159)</f>
        <v>-3.1831015504885842E-3</v>
      </c>
      <c r="F701" s="18">
        <f t="shared" ref="F701:F736" si="162">E701+F700</f>
        <v>13.577379288831406</v>
      </c>
      <c r="G701" s="14">
        <f t="shared" ref="G701:G736" si="163">3.14*(F701^2)</f>
        <v>578.84401702775438</v>
      </c>
      <c r="H701" s="14">
        <f t="shared" ref="H701:H736" si="164">G701-G700</f>
        <v>-0.27144196687902422</v>
      </c>
      <c r="I701" s="19">
        <f t="shared" ref="I701:I736" si="165">H701/G701</f>
        <v>-4.689380193870245E-4</v>
      </c>
      <c r="J701" s="14">
        <f t="shared" ref="J701:J736" si="166">H701+J700</f>
        <v>258.53261702775438</v>
      </c>
      <c r="K701" s="14">
        <f t="shared" ref="K701:L716" si="167">H701+K700</f>
        <v>-0.54294756356853213</v>
      </c>
      <c r="L701" s="14">
        <f t="shared" si="167"/>
        <v>0.5905026309439414</v>
      </c>
      <c r="M701" s="20">
        <f t="shared" ref="M701:M736" si="168">I701+M700</f>
        <v>-9.3771117604821359E-4</v>
      </c>
    </row>
    <row r="702" spans="1:13" x14ac:dyDescent="0.25">
      <c r="A702" s="37">
        <v>44271</v>
      </c>
      <c r="B702">
        <v>2021.2049999999999</v>
      </c>
      <c r="C702" s="40">
        <f t="shared" si="149"/>
        <v>11032</v>
      </c>
      <c r="D702">
        <v>218.19</v>
      </c>
      <c r="E702" s="20">
        <f t="shared" si="161"/>
        <v>-4.7746523257333291E-3</v>
      </c>
      <c r="F702" s="18">
        <f t="shared" si="162"/>
        <v>13.572604636505671</v>
      </c>
      <c r="G702" s="14">
        <f t="shared" si="163"/>
        <v>578.43697338333118</v>
      </c>
      <c r="H702" s="14">
        <f t="shared" si="164"/>
        <v>-0.40704364442319729</v>
      </c>
      <c r="I702" s="19">
        <f t="shared" si="165"/>
        <v>-7.0369575797059011E-4</v>
      </c>
      <c r="J702" s="14">
        <f t="shared" si="166"/>
        <v>258.12557338333119</v>
      </c>
      <c r="K702" s="14">
        <f t="shared" si="167"/>
        <v>-0.94999120799172942</v>
      </c>
      <c r="L702" s="14">
        <f t="shared" si="167"/>
        <v>0.58979893518597082</v>
      </c>
      <c r="M702" s="20">
        <f t="shared" si="168"/>
        <v>-1.6414069340188037E-3</v>
      </c>
    </row>
    <row r="703" spans="1:13" x14ac:dyDescent="0.25">
      <c r="A703" s="37">
        <v>44280</v>
      </c>
      <c r="B703">
        <v>2021.23</v>
      </c>
      <c r="C703" s="40">
        <f t="shared" si="149"/>
        <v>11041</v>
      </c>
      <c r="D703">
        <v>218.39</v>
      </c>
      <c r="E703" s="20">
        <f t="shared" si="161"/>
        <v>3.1831015504885842E-3</v>
      </c>
      <c r="F703" s="18">
        <f t="shared" si="162"/>
        <v>13.57578773805616</v>
      </c>
      <c r="G703" s="14">
        <f t="shared" si="163"/>
        <v>578.70831990549379</v>
      </c>
      <c r="H703" s="14">
        <f t="shared" si="164"/>
        <v>0.27134652216261657</v>
      </c>
      <c r="I703" s="19">
        <f t="shared" si="165"/>
        <v>4.6888305011223778E-4</v>
      </c>
      <c r="J703" s="14">
        <f t="shared" si="166"/>
        <v>258.3969199054938</v>
      </c>
      <c r="K703" s="14">
        <f t="shared" si="167"/>
        <v>-0.67864468582911286</v>
      </c>
      <c r="L703" s="14">
        <f t="shared" si="167"/>
        <v>0.5902678182360831</v>
      </c>
      <c r="M703" s="20">
        <f t="shared" si="168"/>
        <v>-1.172523883906566E-3</v>
      </c>
    </row>
    <row r="704" spans="1:13" x14ac:dyDescent="0.25">
      <c r="A704" s="37">
        <v>44286</v>
      </c>
      <c r="B704">
        <v>2021.2460000000001</v>
      </c>
      <c r="C704" s="40">
        <f t="shared" si="149"/>
        <v>11047</v>
      </c>
      <c r="D704">
        <v>218.44</v>
      </c>
      <c r="E704" s="20">
        <f t="shared" si="161"/>
        <v>7.9577538762237233E-4</v>
      </c>
      <c r="F704" s="18">
        <f t="shared" si="162"/>
        <v>13.576583513443783</v>
      </c>
      <c r="G704" s="14">
        <f t="shared" si="163"/>
        <v>578.77616647819252</v>
      </c>
      <c r="H704" s="14">
        <f t="shared" si="164"/>
        <v>6.7846572698726959E-2</v>
      </c>
      <c r="I704" s="19">
        <f t="shared" si="165"/>
        <v>1.1722419931623657E-4</v>
      </c>
      <c r="J704" s="14">
        <f t="shared" si="166"/>
        <v>258.46476647819253</v>
      </c>
      <c r="K704" s="14">
        <f t="shared" si="167"/>
        <v>-0.6107981131303859</v>
      </c>
      <c r="L704" s="14">
        <f t="shared" si="167"/>
        <v>0.59038504243539935</v>
      </c>
      <c r="M704" s="20">
        <f t="shared" si="168"/>
        <v>-1.0552996845903293E-3</v>
      </c>
    </row>
    <row r="705" spans="1:13" x14ac:dyDescent="0.25">
      <c r="A705" s="37">
        <v>44294</v>
      </c>
      <c r="B705">
        <v>2021.268</v>
      </c>
      <c r="C705" s="40">
        <f t="shared" si="149"/>
        <v>11055</v>
      </c>
      <c r="D705">
        <v>218.34</v>
      </c>
      <c r="E705" s="20">
        <f t="shared" si="161"/>
        <v>-1.5915507752442921E-3</v>
      </c>
      <c r="F705" s="18">
        <f t="shared" si="162"/>
        <v>13.574991962668539</v>
      </c>
      <c r="G705" s="14">
        <f t="shared" si="163"/>
        <v>578.64047730965854</v>
      </c>
      <c r="H705" s="14">
        <f t="shared" si="164"/>
        <v>-0.13568916853398605</v>
      </c>
      <c r="I705" s="19">
        <f t="shared" si="165"/>
        <v>-2.3449650319117273E-4</v>
      </c>
      <c r="J705" s="14">
        <f t="shared" si="166"/>
        <v>258.32907730965854</v>
      </c>
      <c r="K705" s="14">
        <f t="shared" si="167"/>
        <v>-0.74648728166437195</v>
      </c>
      <c r="L705" s="14">
        <f t="shared" si="167"/>
        <v>0.59015054593220817</v>
      </c>
      <c r="M705" s="20">
        <f t="shared" si="168"/>
        <v>-1.2897961877815021E-3</v>
      </c>
    </row>
    <row r="706" spans="1:13" x14ac:dyDescent="0.25">
      <c r="A706" s="37">
        <v>44302</v>
      </c>
      <c r="B706">
        <v>2021.29</v>
      </c>
      <c r="C706" s="40">
        <f t="shared" si="149"/>
        <v>11063</v>
      </c>
      <c r="D706">
        <v>218.39</v>
      </c>
      <c r="E706" s="20">
        <f t="shared" si="161"/>
        <v>7.9577538762192E-4</v>
      </c>
      <c r="F706" s="18">
        <f t="shared" si="162"/>
        <v>13.575787738056162</v>
      </c>
      <c r="G706" s="14">
        <f t="shared" si="163"/>
        <v>578.70831990549402</v>
      </c>
      <c r="H706" s="14">
        <f t="shared" si="164"/>
        <v>6.7842595835486463E-2</v>
      </c>
      <c r="I706" s="19">
        <f t="shared" si="165"/>
        <v>1.1723107047530524E-4</v>
      </c>
      <c r="J706" s="14">
        <f t="shared" si="166"/>
        <v>258.39691990549403</v>
      </c>
      <c r="K706" s="14">
        <f t="shared" si="167"/>
        <v>-0.67864468582888549</v>
      </c>
      <c r="L706" s="14">
        <f t="shared" si="167"/>
        <v>0.59026777700268351</v>
      </c>
      <c r="M706" s="20">
        <f t="shared" si="168"/>
        <v>-1.1725651173061969E-3</v>
      </c>
    </row>
    <row r="707" spans="1:13" x14ac:dyDescent="0.25">
      <c r="A707" s="37">
        <v>44307</v>
      </c>
      <c r="B707">
        <v>2021.3030000000001</v>
      </c>
      <c r="C707" s="40">
        <f t="shared" si="149"/>
        <v>11068</v>
      </c>
      <c r="D707">
        <v>218.49</v>
      </c>
      <c r="E707" s="20">
        <f t="shared" si="161"/>
        <v>1.5915507752447447E-3</v>
      </c>
      <c r="F707" s="18">
        <f t="shared" si="162"/>
        <v>13.577379288831407</v>
      </c>
      <c r="G707" s="14">
        <f t="shared" si="163"/>
        <v>578.84401702775449</v>
      </c>
      <c r="H707" s="14">
        <f t="shared" si="164"/>
        <v>0.13569712226046704</v>
      </c>
      <c r="I707" s="19">
        <f t="shared" si="165"/>
        <v>2.3442778757089687E-4</v>
      </c>
      <c r="J707" s="14">
        <f t="shared" si="166"/>
        <v>258.5326170277545</v>
      </c>
      <c r="K707" s="14">
        <f t="shared" si="167"/>
        <v>-0.54294756356841845</v>
      </c>
      <c r="L707" s="14">
        <f t="shared" si="167"/>
        <v>0.59050220479025439</v>
      </c>
      <c r="M707" s="20">
        <f t="shared" si="168"/>
        <v>-9.3813732973529996E-4</v>
      </c>
    </row>
    <row r="708" spans="1:13" x14ac:dyDescent="0.25">
      <c r="A708" s="37">
        <v>44313</v>
      </c>
      <c r="B708">
        <v>2021.32</v>
      </c>
      <c r="C708" s="40">
        <f t="shared" si="149"/>
        <v>11074</v>
      </c>
      <c r="D708">
        <v>218.59</v>
      </c>
      <c r="E708" s="20">
        <f t="shared" si="161"/>
        <v>1.5915507752442921E-3</v>
      </c>
      <c r="F708" s="18">
        <f t="shared" si="162"/>
        <v>13.578970839606651</v>
      </c>
      <c r="G708" s="14">
        <f t="shared" si="163"/>
        <v>578.97973005746758</v>
      </c>
      <c r="H708" s="14">
        <f t="shared" si="164"/>
        <v>0.13571302971308796</v>
      </c>
      <c r="I708" s="19">
        <f t="shared" si="165"/>
        <v>2.3440031259750241E-4</v>
      </c>
      <c r="J708" s="14">
        <f t="shared" si="166"/>
        <v>258.66833005746759</v>
      </c>
      <c r="K708" s="14">
        <f t="shared" si="167"/>
        <v>-0.40723453385533048</v>
      </c>
      <c r="L708" s="14">
        <f t="shared" si="167"/>
        <v>0.59073660510285186</v>
      </c>
      <c r="M708" s="20">
        <f t="shared" si="168"/>
        <v>-7.0373701713779754E-4</v>
      </c>
    </row>
    <row r="709" spans="1:13" x14ac:dyDescent="0.25">
      <c r="A709" s="37">
        <v>44320</v>
      </c>
      <c r="B709">
        <v>2021.3389999999999</v>
      </c>
      <c r="C709" s="40">
        <f t="shared" ref="C709:C736" si="169">A709-33239</f>
        <v>11081</v>
      </c>
      <c r="D709">
        <v>218.69</v>
      </c>
      <c r="E709" s="20">
        <f t="shared" si="161"/>
        <v>1.5915507752442921E-3</v>
      </c>
      <c r="F709" s="18">
        <f t="shared" si="162"/>
        <v>13.580562390381894</v>
      </c>
      <c r="G709" s="14">
        <f t="shared" si="163"/>
        <v>579.1154589946334</v>
      </c>
      <c r="H709" s="14">
        <f t="shared" si="164"/>
        <v>0.13572893716582257</v>
      </c>
      <c r="I709" s="19">
        <f t="shared" si="165"/>
        <v>2.343728440636919E-4</v>
      </c>
      <c r="J709" s="14">
        <f t="shared" si="166"/>
        <v>258.80405899463341</v>
      </c>
      <c r="K709" s="14">
        <f t="shared" si="167"/>
        <v>-0.27150559668950791</v>
      </c>
      <c r="L709" s="14">
        <f t="shared" si="167"/>
        <v>0.59097097794691555</v>
      </c>
      <c r="M709" s="20">
        <f t="shared" si="168"/>
        <v>-4.6936417307410561E-4</v>
      </c>
    </row>
    <row r="710" spans="1:13" x14ac:dyDescent="0.25">
      <c r="A710" s="37">
        <v>44326</v>
      </c>
      <c r="B710">
        <v>2021.355</v>
      </c>
      <c r="C710" s="40">
        <f t="shared" si="169"/>
        <v>11087</v>
      </c>
      <c r="D710">
        <v>218.69</v>
      </c>
      <c r="E710" s="20">
        <f t="shared" si="161"/>
        <v>0</v>
      </c>
      <c r="F710" s="18">
        <f t="shared" si="162"/>
        <v>13.580562390381894</v>
      </c>
      <c r="G710" s="14">
        <f t="shared" si="163"/>
        <v>579.1154589946334</v>
      </c>
      <c r="H710" s="14">
        <f t="shared" si="164"/>
        <v>0</v>
      </c>
      <c r="I710" s="19">
        <f t="shared" si="165"/>
        <v>0</v>
      </c>
      <c r="J710" s="14">
        <f t="shared" si="166"/>
        <v>258.80405899463341</v>
      </c>
      <c r="K710" s="14">
        <f t="shared" si="167"/>
        <v>-0.27150559668950791</v>
      </c>
      <c r="L710" s="14">
        <f t="shared" si="167"/>
        <v>0.59097097794691555</v>
      </c>
      <c r="M710" s="20">
        <f t="shared" si="168"/>
        <v>-4.6936417307410561E-4</v>
      </c>
    </row>
    <row r="711" spans="1:13" x14ac:dyDescent="0.25">
      <c r="A711" s="37">
        <v>44334</v>
      </c>
      <c r="B711">
        <v>2021.377</v>
      </c>
      <c r="C711" s="40">
        <f t="shared" si="169"/>
        <v>11095</v>
      </c>
      <c r="D711">
        <v>218.69</v>
      </c>
      <c r="E711" s="20">
        <f t="shared" si="161"/>
        <v>0</v>
      </c>
      <c r="F711" s="18">
        <f t="shared" si="162"/>
        <v>13.580562390381894</v>
      </c>
      <c r="G711" s="14">
        <f t="shared" si="163"/>
        <v>579.1154589946334</v>
      </c>
      <c r="H711" s="14">
        <f t="shared" si="164"/>
        <v>0</v>
      </c>
      <c r="I711" s="19">
        <f t="shared" si="165"/>
        <v>0</v>
      </c>
      <c r="J711" s="14">
        <f t="shared" si="166"/>
        <v>258.80405899463341</v>
      </c>
      <c r="K711" s="14">
        <f t="shared" si="167"/>
        <v>-0.27150559668950791</v>
      </c>
      <c r="L711" s="14">
        <f t="shared" si="167"/>
        <v>0.59097097794691555</v>
      </c>
      <c r="M711" s="20">
        <f t="shared" si="168"/>
        <v>-4.6936417307410561E-4</v>
      </c>
    </row>
    <row r="712" spans="1:13" x14ac:dyDescent="0.25">
      <c r="A712" s="37">
        <v>44342</v>
      </c>
      <c r="B712">
        <v>2021.3989999999999</v>
      </c>
      <c r="C712" s="40">
        <f t="shared" si="169"/>
        <v>11103</v>
      </c>
      <c r="D712">
        <v>218.74</v>
      </c>
      <c r="E712" s="20">
        <f t="shared" si="161"/>
        <v>7.9577538762237233E-4</v>
      </c>
      <c r="F712" s="18">
        <f t="shared" si="162"/>
        <v>13.581358165769517</v>
      </c>
      <c r="G712" s="14">
        <f t="shared" si="163"/>
        <v>579.183329428511</v>
      </c>
      <c r="H712" s="14">
        <f t="shared" si="164"/>
        <v>6.7870433877601499E-2</v>
      </c>
      <c r="I712" s="19">
        <f t="shared" si="165"/>
        <v>1.1718298926968476E-4</v>
      </c>
      <c r="J712" s="14">
        <f t="shared" si="166"/>
        <v>258.87192942851101</v>
      </c>
      <c r="K712" s="14">
        <f t="shared" si="167"/>
        <v>-0.20363516281190641</v>
      </c>
      <c r="L712" s="14">
        <f t="shared" si="167"/>
        <v>0.59108816093618521</v>
      </c>
      <c r="M712" s="20">
        <f t="shared" si="168"/>
        <v>-3.5218118380442087E-4</v>
      </c>
    </row>
    <row r="713" spans="1:13" x14ac:dyDescent="0.25">
      <c r="A713" s="37">
        <v>44348</v>
      </c>
      <c r="B713">
        <v>2021.415</v>
      </c>
      <c r="C713" s="40">
        <f t="shared" si="169"/>
        <v>11109</v>
      </c>
      <c r="D713">
        <v>219.39</v>
      </c>
      <c r="E713" s="20">
        <f t="shared" si="161"/>
        <v>1.0345080039088126E-2</v>
      </c>
      <c r="F713" s="18">
        <f t="shared" si="162"/>
        <v>13.591703245808604</v>
      </c>
      <c r="G713" s="14">
        <f t="shared" si="163"/>
        <v>580.06600696346993</v>
      </c>
      <c r="H713" s="14">
        <f t="shared" si="164"/>
        <v>0.88267753495892975</v>
      </c>
      <c r="I713" s="19">
        <f t="shared" si="165"/>
        <v>1.5216846434073443E-3</v>
      </c>
      <c r="J713" s="14">
        <f t="shared" si="166"/>
        <v>259.75460696346994</v>
      </c>
      <c r="K713" s="14">
        <f t="shared" si="167"/>
        <v>0.67904237214702334</v>
      </c>
      <c r="L713" s="14">
        <f t="shared" si="167"/>
        <v>0.59260984557959251</v>
      </c>
      <c r="M713" s="20">
        <f t="shared" si="168"/>
        <v>1.1695034596029233E-3</v>
      </c>
    </row>
    <row r="714" spans="1:13" x14ac:dyDescent="0.25">
      <c r="A714" s="37">
        <v>44354</v>
      </c>
      <c r="B714">
        <v>2021.432</v>
      </c>
      <c r="C714" s="40">
        <f t="shared" si="169"/>
        <v>11115</v>
      </c>
      <c r="D714">
        <v>219.49</v>
      </c>
      <c r="E714" s="20">
        <f t="shared" si="161"/>
        <v>1.5915507752447447E-3</v>
      </c>
      <c r="F714" s="18">
        <f t="shared" si="162"/>
        <v>13.59329479658385</v>
      </c>
      <c r="G714" s="14">
        <f t="shared" si="163"/>
        <v>580.2018631602574</v>
      </c>
      <c r="H714" s="14">
        <f t="shared" si="164"/>
        <v>0.13585619678747207</v>
      </c>
      <c r="I714" s="19">
        <f t="shared" si="165"/>
        <v>2.3415332733936305E-4</v>
      </c>
      <c r="J714" s="14">
        <f t="shared" si="166"/>
        <v>259.89046316025741</v>
      </c>
      <c r="K714" s="14">
        <f t="shared" si="167"/>
        <v>0.81489856893449542</v>
      </c>
      <c r="L714" s="14">
        <f t="shared" si="167"/>
        <v>0.59284399890693185</v>
      </c>
      <c r="M714" s="20">
        <f t="shared" si="168"/>
        <v>1.4036567869422864E-3</v>
      </c>
    </row>
    <row r="715" spans="1:13" x14ac:dyDescent="0.25">
      <c r="A715" s="37">
        <v>44362</v>
      </c>
      <c r="B715">
        <v>2021.454</v>
      </c>
      <c r="C715" s="40">
        <f t="shared" si="169"/>
        <v>11123</v>
      </c>
      <c r="D715">
        <v>219.74</v>
      </c>
      <c r="E715" s="20">
        <f t="shared" si="161"/>
        <v>3.9788769381109571E-3</v>
      </c>
      <c r="F715" s="18">
        <f t="shared" si="162"/>
        <v>13.597273673521961</v>
      </c>
      <c r="G715" s="14">
        <f t="shared" si="163"/>
        <v>580.54157324733171</v>
      </c>
      <c r="H715" s="14">
        <f t="shared" si="164"/>
        <v>0.33971008707430883</v>
      </c>
      <c r="I715" s="19">
        <f t="shared" si="165"/>
        <v>5.8516065468679202E-4</v>
      </c>
      <c r="J715" s="14">
        <f t="shared" si="166"/>
        <v>260.23017324733172</v>
      </c>
      <c r="K715" s="14">
        <f t="shared" si="167"/>
        <v>1.1546086560088042</v>
      </c>
      <c r="L715" s="14">
        <f t="shared" si="167"/>
        <v>0.59342915956161868</v>
      </c>
      <c r="M715" s="20">
        <f t="shared" si="168"/>
        <v>1.9888174416290783E-3</v>
      </c>
    </row>
    <row r="716" spans="1:13" x14ac:dyDescent="0.25">
      <c r="A716" s="37">
        <v>44369</v>
      </c>
      <c r="B716">
        <v>2021.473</v>
      </c>
      <c r="C716" s="40">
        <f t="shared" si="169"/>
        <v>11130</v>
      </c>
      <c r="D716">
        <v>219.79</v>
      </c>
      <c r="E716" s="20">
        <f t="shared" si="161"/>
        <v>7.9577538762192E-4</v>
      </c>
      <c r="F716" s="18">
        <f t="shared" si="162"/>
        <v>13.598069448909584</v>
      </c>
      <c r="G716" s="14">
        <f t="shared" si="163"/>
        <v>580.60952719533611</v>
      </c>
      <c r="H716" s="14">
        <f t="shared" si="164"/>
        <v>6.7953948004401354E-2</v>
      </c>
      <c r="I716" s="19">
        <f t="shared" si="165"/>
        <v>1.1703898200337215E-4</v>
      </c>
      <c r="J716" s="14">
        <f t="shared" si="166"/>
        <v>260.29812719533612</v>
      </c>
      <c r="K716" s="14">
        <f t="shared" si="167"/>
        <v>1.2225626040132056</v>
      </c>
      <c r="L716" s="14">
        <f t="shared" si="167"/>
        <v>0.59354619854362201</v>
      </c>
      <c r="M716" s="20">
        <f t="shared" si="168"/>
        <v>2.1058564236324504E-3</v>
      </c>
    </row>
    <row r="717" spans="1:13" x14ac:dyDescent="0.25">
      <c r="A717" s="37">
        <v>44377</v>
      </c>
      <c r="B717">
        <v>2021.4949999999999</v>
      </c>
      <c r="C717" s="40">
        <f t="shared" si="169"/>
        <v>11138</v>
      </c>
      <c r="D717">
        <v>220.69</v>
      </c>
      <c r="E717" s="20">
        <f t="shared" si="161"/>
        <v>1.4323956977199534E-2</v>
      </c>
      <c r="F717" s="18">
        <f t="shared" si="162"/>
        <v>13.612393405886783</v>
      </c>
      <c r="G717" s="14">
        <f t="shared" si="163"/>
        <v>581.83337830301809</v>
      </c>
      <c r="H717" s="14">
        <f t="shared" si="164"/>
        <v>1.2238511076819805</v>
      </c>
      <c r="I717" s="19">
        <f t="shared" si="165"/>
        <v>2.1034391516888884E-3</v>
      </c>
      <c r="J717" s="14">
        <f t="shared" si="166"/>
        <v>261.5219783030181</v>
      </c>
      <c r="K717" s="14">
        <f t="shared" ref="K717:L732" si="170">H717+K716</f>
        <v>2.4464137116951861</v>
      </c>
      <c r="L717" s="14">
        <f t="shared" si="170"/>
        <v>0.59564963769531087</v>
      </c>
      <c r="M717" s="20">
        <f t="shared" si="168"/>
        <v>4.2092955753213392E-3</v>
      </c>
    </row>
    <row r="718" spans="1:13" x14ac:dyDescent="0.25">
      <c r="A718" s="37">
        <v>44385</v>
      </c>
      <c r="B718">
        <v>2021.5160000000001</v>
      </c>
      <c r="C718" s="40">
        <f t="shared" si="169"/>
        <v>11146</v>
      </c>
      <c r="D718">
        <v>221.49</v>
      </c>
      <c r="E718" s="20">
        <f t="shared" si="161"/>
        <v>1.2732406201955242E-2</v>
      </c>
      <c r="F718" s="18">
        <f t="shared" si="162"/>
        <v>13.625125812088738</v>
      </c>
      <c r="G718" s="14">
        <f t="shared" si="163"/>
        <v>582.92232766107497</v>
      </c>
      <c r="H718" s="14">
        <f t="shared" si="164"/>
        <v>1.0889493580568796</v>
      </c>
      <c r="I718" s="19">
        <f t="shared" si="165"/>
        <v>1.8680865466694234E-3</v>
      </c>
      <c r="J718" s="14">
        <f t="shared" si="166"/>
        <v>262.61092766107498</v>
      </c>
      <c r="K718" s="14">
        <f t="shared" si="170"/>
        <v>3.5353630697520657</v>
      </c>
      <c r="L718" s="14">
        <f t="shared" si="170"/>
        <v>0.59751772424198035</v>
      </c>
      <c r="M718" s="20">
        <f t="shared" si="168"/>
        <v>6.0773821219907622E-3</v>
      </c>
    </row>
    <row r="719" spans="1:13" x14ac:dyDescent="0.25">
      <c r="A719" s="37">
        <v>44390</v>
      </c>
      <c r="B719">
        <v>2021.53</v>
      </c>
      <c r="C719" s="40">
        <f t="shared" si="169"/>
        <v>11151</v>
      </c>
      <c r="D719">
        <v>221.29</v>
      </c>
      <c r="E719" s="20">
        <f t="shared" si="161"/>
        <v>-3.1831015504890365E-3</v>
      </c>
      <c r="F719" s="18">
        <f t="shared" si="162"/>
        <v>13.621942710538249</v>
      </c>
      <c r="G719" s="14">
        <f t="shared" si="163"/>
        <v>582.64999487684452</v>
      </c>
      <c r="H719" s="14">
        <f t="shared" si="164"/>
        <v>-0.27233278423045704</v>
      </c>
      <c r="I719" s="19">
        <f t="shared" si="165"/>
        <v>-4.6740373573335458E-4</v>
      </c>
      <c r="J719" s="14">
        <f t="shared" si="166"/>
        <v>262.33859487684452</v>
      </c>
      <c r="K719" s="14">
        <f t="shared" si="170"/>
        <v>3.2630302855216087</v>
      </c>
      <c r="L719" s="14">
        <f t="shared" si="170"/>
        <v>0.59705032050624696</v>
      </c>
      <c r="M719" s="20">
        <f t="shared" si="168"/>
        <v>5.6099783862574078E-3</v>
      </c>
    </row>
    <row r="720" spans="1:13" x14ac:dyDescent="0.25">
      <c r="A720" s="37">
        <v>44405</v>
      </c>
      <c r="B720">
        <v>2021.5709999999999</v>
      </c>
      <c r="C720" s="40">
        <f t="shared" si="169"/>
        <v>11166</v>
      </c>
      <c r="D720">
        <v>221.29</v>
      </c>
      <c r="E720" s="20">
        <f t="shared" si="161"/>
        <v>0</v>
      </c>
      <c r="F720" s="18">
        <f t="shared" si="162"/>
        <v>13.621942710538249</v>
      </c>
      <c r="G720" s="14">
        <f t="shared" si="163"/>
        <v>582.64999487684452</v>
      </c>
      <c r="H720" s="14">
        <f t="shared" si="164"/>
        <v>0</v>
      </c>
      <c r="I720" s="19">
        <f t="shared" si="165"/>
        <v>0</v>
      </c>
      <c r="J720" s="14">
        <f t="shared" si="166"/>
        <v>262.33859487684452</v>
      </c>
      <c r="K720" s="14">
        <f t="shared" si="170"/>
        <v>3.2630302855216087</v>
      </c>
      <c r="L720" s="14">
        <f t="shared" si="170"/>
        <v>0.59705032050624696</v>
      </c>
      <c r="M720" s="20">
        <f t="shared" si="168"/>
        <v>5.6099783862574078E-3</v>
      </c>
    </row>
    <row r="721" spans="1:13" x14ac:dyDescent="0.25">
      <c r="A721" s="37">
        <v>44412</v>
      </c>
      <c r="B721">
        <v>2021.59</v>
      </c>
      <c r="C721" s="40">
        <f t="shared" si="169"/>
        <v>11173</v>
      </c>
      <c r="D721">
        <v>220.99</v>
      </c>
      <c r="E721" s="20">
        <f t="shared" si="161"/>
        <v>-4.7746523257328763E-3</v>
      </c>
      <c r="F721" s="18">
        <f t="shared" si="162"/>
        <v>13.617168058212517</v>
      </c>
      <c r="G721" s="14">
        <f t="shared" si="163"/>
        <v>582.24161500639423</v>
      </c>
      <c r="H721" s="14">
        <f t="shared" si="164"/>
        <v>-0.40837987045028967</v>
      </c>
      <c r="I721" s="19">
        <f t="shared" si="165"/>
        <v>-7.0139244589345411E-4</v>
      </c>
      <c r="J721" s="14">
        <f t="shared" si="166"/>
        <v>261.93021500639423</v>
      </c>
      <c r="K721" s="14">
        <f t="shared" si="170"/>
        <v>2.854650415071319</v>
      </c>
      <c r="L721" s="14">
        <f t="shared" si="170"/>
        <v>0.59634892806035356</v>
      </c>
      <c r="M721" s="20">
        <f t="shared" si="168"/>
        <v>4.9085859403639534E-3</v>
      </c>
    </row>
    <row r="722" spans="1:13" x14ac:dyDescent="0.25">
      <c r="A722" s="37">
        <v>44418</v>
      </c>
      <c r="B722">
        <v>2021.607</v>
      </c>
      <c r="C722" s="40">
        <f t="shared" si="169"/>
        <v>11179</v>
      </c>
      <c r="D722">
        <v>221.59</v>
      </c>
      <c r="E722" s="20">
        <f t="shared" si="161"/>
        <v>9.5493046514662054E-3</v>
      </c>
      <c r="F722" s="18">
        <f t="shared" si="162"/>
        <v>13.626717362863983</v>
      </c>
      <c r="G722" s="14">
        <f t="shared" si="163"/>
        <v>583.0585179143693</v>
      </c>
      <c r="H722" s="14">
        <f t="shared" si="164"/>
        <v>0.81690290797507714</v>
      </c>
      <c r="I722" s="19">
        <f t="shared" si="165"/>
        <v>1.4010650438607455E-3</v>
      </c>
      <c r="J722" s="14">
        <f t="shared" si="166"/>
        <v>262.74711791436931</v>
      </c>
      <c r="K722" s="14">
        <f t="shared" si="170"/>
        <v>3.6715533230463961</v>
      </c>
      <c r="L722" s="14">
        <f t="shared" si="170"/>
        <v>0.59774999310421428</v>
      </c>
      <c r="M722" s="20">
        <f t="shared" si="168"/>
        <v>6.3096509842246991E-3</v>
      </c>
    </row>
    <row r="723" spans="1:13" x14ac:dyDescent="0.25">
      <c r="A723" s="37">
        <v>44425</v>
      </c>
      <c r="B723">
        <v>2021.626</v>
      </c>
      <c r="C723" s="40">
        <f t="shared" si="169"/>
        <v>11186</v>
      </c>
      <c r="D723">
        <v>222.09</v>
      </c>
      <c r="E723" s="20">
        <f t="shared" si="161"/>
        <v>7.9577538762219142E-3</v>
      </c>
      <c r="F723" s="18">
        <f t="shared" si="162"/>
        <v>13.634675116740205</v>
      </c>
      <c r="G723" s="14">
        <f t="shared" si="163"/>
        <v>583.73970779263118</v>
      </c>
      <c r="H723" s="14">
        <f t="shared" si="164"/>
        <v>0.68118987826187549</v>
      </c>
      <c r="I723" s="19">
        <f t="shared" si="165"/>
        <v>1.1669411368942931E-3</v>
      </c>
      <c r="J723" s="14">
        <f t="shared" si="166"/>
        <v>263.42830779263119</v>
      </c>
      <c r="K723" s="14">
        <f t="shared" si="170"/>
        <v>4.3527432013082716</v>
      </c>
      <c r="L723" s="14">
        <f t="shared" si="170"/>
        <v>0.59891693424110859</v>
      </c>
      <c r="M723" s="20">
        <f t="shared" si="168"/>
        <v>7.4765921211189922E-3</v>
      </c>
    </row>
    <row r="724" spans="1:13" x14ac:dyDescent="0.25">
      <c r="A724" s="37">
        <v>44433</v>
      </c>
      <c r="B724">
        <v>2021.6479999999999</v>
      </c>
      <c r="C724" s="40">
        <f t="shared" si="169"/>
        <v>11194</v>
      </c>
      <c r="D724">
        <v>221.99</v>
      </c>
      <c r="E724" s="20">
        <f t="shared" si="161"/>
        <v>-1.5915507752442921E-3</v>
      </c>
      <c r="F724" s="18">
        <f t="shared" si="162"/>
        <v>13.633083565964961</v>
      </c>
      <c r="G724" s="14">
        <f t="shared" si="163"/>
        <v>583.60343800207352</v>
      </c>
      <c r="H724" s="14">
        <f t="shared" si="164"/>
        <v>-0.13626979055766242</v>
      </c>
      <c r="I724" s="19">
        <f t="shared" si="165"/>
        <v>-2.3349723748059594E-4</v>
      </c>
      <c r="J724" s="14">
        <f t="shared" si="166"/>
        <v>263.29203800207353</v>
      </c>
      <c r="K724" s="14">
        <f t="shared" si="170"/>
        <v>4.2164734107506092</v>
      </c>
      <c r="L724" s="14">
        <f t="shared" si="170"/>
        <v>0.59868343700362803</v>
      </c>
      <c r="M724" s="20">
        <f t="shared" si="168"/>
        <v>7.2430948836383962E-3</v>
      </c>
    </row>
    <row r="725" spans="1:13" x14ac:dyDescent="0.25">
      <c r="A725" s="37">
        <v>44439</v>
      </c>
      <c r="B725">
        <v>2021.664</v>
      </c>
      <c r="C725" s="40">
        <f t="shared" si="169"/>
        <v>11200</v>
      </c>
      <c r="D725">
        <v>222.19</v>
      </c>
      <c r="E725" s="20">
        <f t="shared" si="161"/>
        <v>3.1831015504885842E-3</v>
      </c>
      <c r="F725" s="18">
        <f t="shared" si="162"/>
        <v>13.63626666751545</v>
      </c>
      <c r="G725" s="14">
        <f t="shared" si="163"/>
        <v>583.8759934906418</v>
      </c>
      <c r="H725" s="14">
        <f t="shared" si="164"/>
        <v>0.27255548856828682</v>
      </c>
      <c r="I725" s="19">
        <f t="shared" si="165"/>
        <v>4.6680372477525962E-4</v>
      </c>
      <c r="J725" s="14">
        <f t="shared" si="166"/>
        <v>263.56459349064181</v>
      </c>
      <c r="K725" s="14">
        <f t="shared" si="170"/>
        <v>4.489028899318896</v>
      </c>
      <c r="L725" s="14">
        <f t="shared" si="170"/>
        <v>0.59915024072840328</v>
      </c>
      <c r="M725" s="20">
        <f t="shared" si="168"/>
        <v>7.709898608413656E-3</v>
      </c>
    </row>
    <row r="726" spans="1:13" x14ac:dyDescent="0.25">
      <c r="A726" s="37">
        <v>44446</v>
      </c>
      <c r="B726">
        <v>2021.683</v>
      </c>
      <c r="C726" s="40">
        <f t="shared" si="169"/>
        <v>11207</v>
      </c>
      <c r="D726">
        <v>221.69</v>
      </c>
      <c r="E726" s="20">
        <f t="shared" si="161"/>
        <v>-7.9577538762219142E-3</v>
      </c>
      <c r="F726" s="18">
        <f t="shared" si="162"/>
        <v>13.628308913639229</v>
      </c>
      <c r="G726" s="14">
        <f t="shared" si="163"/>
        <v>583.19472407511637</v>
      </c>
      <c r="H726" s="14">
        <f t="shared" si="164"/>
        <v>-0.68126941552543485</v>
      </c>
      <c r="I726" s="19">
        <f t="shared" si="165"/>
        <v>-1.168168001872538E-3</v>
      </c>
      <c r="J726" s="14">
        <f t="shared" si="166"/>
        <v>262.88332407511638</v>
      </c>
      <c r="K726" s="14">
        <f t="shared" si="170"/>
        <v>3.8077594837934612</v>
      </c>
      <c r="L726" s="14">
        <f t="shared" si="170"/>
        <v>0.5979820727265307</v>
      </c>
      <c r="M726" s="20">
        <f t="shared" si="168"/>
        <v>6.5417306065411185E-3</v>
      </c>
    </row>
    <row r="727" spans="1:13" x14ac:dyDescent="0.25">
      <c r="A727" s="37">
        <v>44453</v>
      </c>
      <c r="B727">
        <v>2021.702</v>
      </c>
      <c r="C727" s="40">
        <f t="shared" si="169"/>
        <v>11214</v>
      </c>
      <c r="D727">
        <v>222.54</v>
      </c>
      <c r="E727" s="20">
        <f t="shared" si="161"/>
        <v>1.3528181589577163E-2</v>
      </c>
      <c r="F727" s="18">
        <f t="shared" si="162"/>
        <v>13.641837095228807</v>
      </c>
      <c r="G727" s="14">
        <f t="shared" si="163"/>
        <v>584.35311870486873</v>
      </c>
      <c r="H727" s="14">
        <f t="shared" si="164"/>
        <v>1.1583946297523653</v>
      </c>
      <c r="I727" s="19">
        <f t="shared" si="165"/>
        <v>1.9823538074371428E-3</v>
      </c>
      <c r="J727" s="14">
        <f t="shared" si="166"/>
        <v>264.04171870486874</v>
      </c>
      <c r="K727" s="14">
        <f t="shared" si="170"/>
        <v>4.9661541135458265</v>
      </c>
      <c r="L727" s="14">
        <f t="shared" si="170"/>
        <v>0.59996442653396787</v>
      </c>
      <c r="M727" s="20">
        <f t="shared" si="168"/>
        <v>8.5240844139782609E-3</v>
      </c>
    </row>
    <row r="728" spans="1:13" x14ac:dyDescent="0.25">
      <c r="A728" s="37">
        <v>44460</v>
      </c>
      <c r="B728">
        <v>2021.721</v>
      </c>
      <c r="C728" s="40">
        <f t="shared" si="169"/>
        <v>11221</v>
      </c>
      <c r="D728">
        <v>221.94</v>
      </c>
      <c r="E728" s="20">
        <f t="shared" si="161"/>
        <v>-9.5493046514662054E-3</v>
      </c>
      <c r="F728" s="18">
        <f t="shared" si="162"/>
        <v>13.63228779057734</v>
      </c>
      <c r="G728" s="14">
        <f t="shared" si="163"/>
        <v>583.53530907208938</v>
      </c>
      <c r="H728" s="14">
        <f t="shared" si="164"/>
        <v>-0.81780963277935825</v>
      </c>
      <c r="I728" s="19">
        <f t="shared" si="165"/>
        <v>-1.4014741183010862E-3</v>
      </c>
      <c r="J728" s="14">
        <f t="shared" si="166"/>
        <v>263.22390907208938</v>
      </c>
      <c r="K728" s="14">
        <f t="shared" si="170"/>
        <v>4.1483444807664682</v>
      </c>
      <c r="L728" s="14">
        <f t="shared" si="170"/>
        <v>0.59856295241566682</v>
      </c>
      <c r="M728" s="20">
        <f t="shared" si="168"/>
        <v>7.1226102956771752E-3</v>
      </c>
    </row>
    <row r="729" spans="1:13" x14ac:dyDescent="0.25">
      <c r="A729" s="37">
        <v>44467</v>
      </c>
      <c r="B729">
        <v>2021.74</v>
      </c>
      <c r="C729" s="40">
        <f t="shared" si="169"/>
        <v>11228</v>
      </c>
      <c r="D729">
        <v>221.49</v>
      </c>
      <c r="E729" s="20">
        <f t="shared" si="161"/>
        <v>-7.1619784885995404E-3</v>
      </c>
      <c r="F729" s="18">
        <f t="shared" si="162"/>
        <v>13.62512581208874</v>
      </c>
      <c r="G729" s="14">
        <f t="shared" si="163"/>
        <v>582.9223276610752</v>
      </c>
      <c r="H729" s="14">
        <f t="shared" si="164"/>
        <v>-0.61298141101417514</v>
      </c>
      <c r="I729" s="19">
        <f t="shared" si="165"/>
        <v>-1.0515661897421383E-3</v>
      </c>
      <c r="J729" s="14">
        <f t="shared" si="166"/>
        <v>262.61092766107521</v>
      </c>
      <c r="K729" s="14">
        <f t="shared" si="170"/>
        <v>3.5353630697522931</v>
      </c>
      <c r="L729" s="14">
        <f t="shared" si="170"/>
        <v>0.5975113862259247</v>
      </c>
      <c r="M729" s="20">
        <f t="shared" si="168"/>
        <v>6.0710441059350371E-3</v>
      </c>
    </row>
    <row r="730" spans="1:13" x14ac:dyDescent="0.25">
      <c r="A730" s="37">
        <v>44474</v>
      </c>
      <c r="B730">
        <v>2021.76</v>
      </c>
      <c r="C730" s="40">
        <f t="shared" si="169"/>
        <v>11235</v>
      </c>
      <c r="D730">
        <v>222.29</v>
      </c>
      <c r="E730" s="20">
        <f t="shared" si="161"/>
        <v>1.273240620195479E-2</v>
      </c>
      <c r="F730" s="18">
        <f t="shared" si="162"/>
        <v>13.637858218290695</v>
      </c>
      <c r="G730" s="14">
        <f t="shared" si="163"/>
        <v>584.01229509610505</v>
      </c>
      <c r="H730" s="14">
        <f t="shared" si="164"/>
        <v>1.0899674350298483</v>
      </c>
      <c r="I730" s="19">
        <f t="shared" si="165"/>
        <v>1.8663433016431329E-3</v>
      </c>
      <c r="J730" s="14">
        <f t="shared" si="166"/>
        <v>263.70089509610506</v>
      </c>
      <c r="K730" s="14">
        <f t="shared" si="170"/>
        <v>4.6253305047821414</v>
      </c>
      <c r="L730" s="14">
        <f t="shared" si="170"/>
        <v>0.59937772952756785</v>
      </c>
      <c r="M730" s="20">
        <f t="shared" si="168"/>
        <v>7.9373874075781697E-3</v>
      </c>
    </row>
    <row r="731" spans="1:13" x14ac:dyDescent="0.25">
      <c r="A731" s="37">
        <v>44482</v>
      </c>
      <c r="B731">
        <v>2021.7809999999999</v>
      </c>
      <c r="C731" s="40">
        <f t="shared" si="169"/>
        <v>11243</v>
      </c>
      <c r="D731">
        <v>222.59</v>
      </c>
      <c r="E731" s="20">
        <f t="shared" si="161"/>
        <v>4.7746523257333291E-3</v>
      </c>
      <c r="F731" s="18">
        <f t="shared" si="162"/>
        <v>13.642632870616429</v>
      </c>
      <c r="G731" s="14">
        <f t="shared" si="163"/>
        <v>584.42129535721108</v>
      </c>
      <c r="H731" s="14">
        <f t="shared" si="164"/>
        <v>0.40900026110602994</v>
      </c>
      <c r="I731" s="19">
        <f t="shared" si="165"/>
        <v>6.9983805236946406E-4</v>
      </c>
      <c r="J731" s="14">
        <f t="shared" si="166"/>
        <v>264.10989535721109</v>
      </c>
      <c r="K731" s="14">
        <f t="shared" si="170"/>
        <v>5.0343307658881713</v>
      </c>
      <c r="L731" s="14">
        <f t="shared" si="170"/>
        <v>0.60007756757993735</v>
      </c>
      <c r="M731" s="20">
        <f t="shared" si="168"/>
        <v>8.6372254599476339E-3</v>
      </c>
    </row>
    <row r="732" spans="1:13" x14ac:dyDescent="0.25">
      <c r="A732" s="37">
        <v>44488</v>
      </c>
      <c r="B732">
        <v>2021.798</v>
      </c>
      <c r="C732" s="40">
        <f t="shared" si="169"/>
        <v>11249</v>
      </c>
      <c r="D732">
        <v>222.59</v>
      </c>
      <c r="E732" s="20">
        <f t="shared" si="161"/>
        <v>0</v>
      </c>
      <c r="F732" s="18">
        <f t="shared" si="162"/>
        <v>13.642632870616429</v>
      </c>
      <c r="G732" s="14">
        <f t="shared" si="163"/>
        <v>584.42129535721108</v>
      </c>
      <c r="H732" s="14">
        <f t="shared" si="164"/>
        <v>0</v>
      </c>
      <c r="I732" s="19">
        <f t="shared" si="165"/>
        <v>0</v>
      </c>
      <c r="J732" s="14">
        <f t="shared" si="166"/>
        <v>264.10989535721109</v>
      </c>
      <c r="K732" s="14">
        <f t="shared" si="170"/>
        <v>5.0343307658881713</v>
      </c>
      <c r="L732" s="14">
        <f t="shared" si="170"/>
        <v>0.60007756757993735</v>
      </c>
      <c r="M732" s="20">
        <f t="shared" si="168"/>
        <v>8.6372254599476339E-3</v>
      </c>
    </row>
    <row r="733" spans="1:13" x14ac:dyDescent="0.25">
      <c r="A733" s="37">
        <v>44496</v>
      </c>
      <c r="B733">
        <v>2021.82</v>
      </c>
      <c r="C733" s="40">
        <f t="shared" si="169"/>
        <v>11257</v>
      </c>
      <c r="D733">
        <v>222.59</v>
      </c>
      <c r="E733" s="20">
        <f t="shared" si="161"/>
        <v>0</v>
      </c>
      <c r="F733" s="18">
        <f t="shared" si="162"/>
        <v>13.642632870616429</v>
      </c>
      <c r="G733" s="14">
        <f t="shared" si="163"/>
        <v>584.42129535721108</v>
      </c>
      <c r="H733" s="14">
        <f t="shared" si="164"/>
        <v>0</v>
      </c>
      <c r="I733" s="19">
        <f t="shared" si="165"/>
        <v>0</v>
      </c>
      <c r="J733" s="14">
        <f t="shared" si="166"/>
        <v>264.10989535721109</v>
      </c>
      <c r="K733" s="14">
        <f t="shared" ref="K733:L736" si="171">H733+K732</f>
        <v>5.0343307658881713</v>
      </c>
      <c r="L733" s="14">
        <f t="shared" si="171"/>
        <v>0.60007756757993735</v>
      </c>
      <c r="M733" s="20">
        <f t="shared" si="168"/>
        <v>8.6372254599476339E-3</v>
      </c>
    </row>
    <row r="734" spans="1:13" x14ac:dyDescent="0.25">
      <c r="A734" s="37">
        <v>44509</v>
      </c>
      <c r="B734">
        <v>2021.855</v>
      </c>
      <c r="C734" s="40">
        <f t="shared" si="169"/>
        <v>11270</v>
      </c>
      <c r="D734">
        <v>222.44</v>
      </c>
      <c r="E734" s="20">
        <f t="shared" si="161"/>
        <v>-2.3873261628666645E-3</v>
      </c>
      <c r="F734" s="18">
        <f t="shared" si="162"/>
        <v>13.640245544453563</v>
      </c>
      <c r="G734" s="14">
        <f t="shared" si="163"/>
        <v>584.21677733077377</v>
      </c>
      <c r="H734" s="14">
        <f t="shared" si="164"/>
        <v>-0.20451802643731298</v>
      </c>
      <c r="I734" s="19">
        <f t="shared" si="165"/>
        <v>-3.5007215535941087E-4</v>
      </c>
      <c r="J734" s="14">
        <f t="shared" si="166"/>
        <v>263.90537733077377</v>
      </c>
      <c r="K734" s="14">
        <f t="shared" si="171"/>
        <v>4.8298127394508583</v>
      </c>
      <c r="L734" s="14">
        <f t="shared" si="171"/>
        <v>0.59972749542457793</v>
      </c>
      <c r="M734" s="20">
        <f t="shared" si="168"/>
        <v>8.2871533045882229E-3</v>
      </c>
    </row>
    <row r="735" spans="1:13" x14ac:dyDescent="0.25">
      <c r="A735" s="37">
        <v>44523</v>
      </c>
      <c r="B735">
        <v>2021.893</v>
      </c>
      <c r="C735" s="40">
        <f t="shared" si="169"/>
        <v>11284</v>
      </c>
      <c r="D735">
        <v>222.09</v>
      </c>
      <c r="E735" s="20">
        <f t="shared" si="161"/>
        <v>-5.5704277133552492E-3</v>
      </c>
      <c r="F735" s="18">
        <f>E735+F734</f>
        <v>13.634675116740208</v>
      </c>
      <c r="G735" s="14">
        <f t="shared" si="163"/>
        <v>583.73970779263152</v>
      </c>
      <c r="H735" s="14">
        <f t="shared" si="164"/>
        <v>-0.47706953814224562</v>
      </c>
      <c r="I735" s="19">
        <f t="shared" si="165"/>
        <v>-8.1726415348075041E-4</v>
      </c>
      <c r="J735" s="14">
        <f t="shared" si="166"/>
        <v>263.42830779263153</v>
      </c>
      <c r="K735" s="14">
        <f t="shared" si="171"/>
        <v>4.3527432013086127</v>
      </c>
      <c r="L735" s="14">
        <f t="shared" si="171"/>
        <v>0.59891023127109722</v>
      </c>
      <c r="M735" s="20">
        <f t="shared" si="168"/>
        <v>7.4698891511074724E-3</v>
      </c>
    </row>
    <row r="736" spans="1:13" x14ac:dyDescent="0.25">
      <c r="A736" s="37">
        <v>44593</v>
      </c>
      <c r="B736">
        <v>2022.087</v>
      </c>
      <c r="C736" s="40">
        <f t="shared" si="169"/>
        <v>11354</v>
      </c>
      <c r="D736">
        <v>223.34</v>
      </c>
      <c r="E736" s="20">
        <f t="shared" si="161"/>
        <v>1.9894384690554785E-2</v>
      </c>
      <c r="F736" s="18">
        <f t="shared" si="162"/>
        <v>13.654569501430762</v>
      </c>
      <c r="G736" s="14">
        <f t="shared" si="163"/>
        <v>585.4444223659259</v>
      </c>
      <c r="H736" s="14">
        <f t="shared" si="164"/>
        <v>1.7047145732943818</v>
      </c>
      <c r="I736" s="19">
        <f t="shared" si="165"/>
        <v>2.9118298990794171E-3</v>
      </c>
      <c r="J736" s="14">
        <f t="shared" si="166"/>
        <v>265.13302236592591</v>
      </c>
      <c r="K736" s="14">
        <f t="shared" si="171"/>
        <v>6.0574577746029945</v>
      </c>
      <c r="L736" s="14">
        <f t="shared" si="171"/>
        <v>0.60182206117017667</v>
      </c>
      <c r="M736" s="20">
        <f t="shared" si="168"/>
        <v>1.038171905018689E-2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Maura R</dc:creator>
  <cp:lastModifiedBy>Collins, Maura R</cp:lastModifiedBy>
  <dcterms:created xsi:type="dcterms:W3CDTF">2026-06-17T19:21:29Z</dcterms:created>
  <dcterms:modified xsi:type="dcterms:W3CDTF">2026-06-17T19:22:14Z</dcterms:modified>
</cp:coreProperties>
</file>